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65720ceb39cad9/3 OneDrive Fabio/HKU/Research/A - Control Cabin/Writing process/Political Resource Redistribution in Single-Party Regimes/Eighth draft/datasets used/"/>
    </mc:Choice>
  </mc:AlternateContent>
  <xr:revisionPtr revIDLastSave="1" documentId="13_ncr:1_{89F3B44F-0083-C54D-AF8D-2B2556956A4D}" xr6:coauthVersionLast="47" xr6:coauthVersionMax="47" xr10:uidLastSave="{C419D34D-97F9-C243-90EF-0E0C4D84A3AC}"/>
  <bookViews>
    <workbookView xWindow="0" yWindow="500" windowWidth="28760" windowHeight="15940" xr2:uid="{0DC5BE63-D082-844E-92D3-66AA258242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33" i="1" l="1"/>
  <c r="R33" i="1"/>
  <c r="T33" i="1" s="1"/>
  <c r="Q33" i="1"/>
  <c r="AD32" i="1"/>
  <c r="R32" i="1"/>
  <c r="T32" i="1" s="1"/>
  <c r="Q32" i="1"/>
  <c r="AD31" i="1"/>
  <c r="R31" i="1"/>
  <c r="T31" i="1" s="1"/>
  <c r="Q31" i="1"/>
  <c r="AD30" i="1"/>
  <c r="R30" i="1"/>
  <c r="Q30" i="1"/>
  <c r="AD29" i="1"/>
  <c r="R29" i="1"/>
  <c r="Q29" i="1"/>
  <c r="AD28" i="1"/>
  <c r="N28" i="1"/>
  <c r="AD27" i="1"/>
  <c r="N27" i="1"/>
  <c r="AD26" i="1"/>
  <c r="AD25" i="1"/>
  <c r="N25" i="1"/>
  <c r="AD24" i="1"/>
  <c r="N24" i="1"/>
  <c r="AD23" i="1"/>
  <c r="N23" i="1"/>
  <c r="AD22" i="1"/>
  <c r="N22" i="1"/>
  <c r="AD21" i="1"/>
  <c r="N21" i="1"/>
  <c r="AD20" i="1"/>
  <c r="N20" i="1"/>
  <c r="AD19" i="1"/>
  <c r="N19" i="1"/>
  <c r="AD18" i="1"/>
  <c r="N18" i="1"/>
  <c r="N9" i="1"/>
  <c r="N12" i="1"/>
  <c r="E2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2" i="1"/>
  <c r="AD17" i="1"/>
  <c r="R17" i="1"/>
  <c r="Q17" i="1"/>
  <c r="E33" i="1"/>
  <c r="D17" i="1"/>
  <c r="E17" i="1" s="1"/>
  <c r="AD16" i="1"/>
  <c r="R16" i="1"/>
  <c r="Q16" i="1"/>
  <c r="E32" i="1"/>
  <c r="D16" i="1"/>
  <c r="E16" i="1" s="1"/>
  <c r="AD15" i="1"/>
  <c r="R15" i="1"/>
  <c r="T15" i="1" s="1"/>
  <c r="Q15" i="1"/>
  <c r="E31" i="1"/>
  <c r="D15" i="1"/>
  <c r="E15" i="1" s="1"/>
  <c r="AD14" i="1"/>
  <c r="R14" i="1"/>
  <c r="Q14" i="1"/>
  <c r="E30" i="1"/>
  <c r="D14" i="1"/>
  <c r="E14" i="1" s="1"/>
  <c r="AD13" i="1"/>
  <c r="R13" i="1"/>
  <c r="Q13" i="1"/>
  <c r="E29" i="1"/>
  <c r="D13" i="1"/>
  <c r="E13" i="1" s="1"/>
  <c r="AD12" i="1"/>
  <c r="E28" i="1"/>
  <c r="D12" i="1"/>
  <c r="E12" i="1" s="1"/>
  <c r="AD11" i="1"/>
  <c r="N11" i="1"/>
  <c r="E27" i="1"/>
  <c r="D11" i="1"/>
  <c r="E11" i="1" s="1"/>
  <c r="AD10" i="1"/>
  <c r="E26" i="1"/>
  <c r="D10" i="1"/>
  <c r="E10" i="1" s="1"/>
  <c r="AD9" i="1"/>
  <c r="E25" i="1"/>
  <c r="D9" i="1"/>
  <c r="E9" i="1" s="1"/>
  <c r="AD8" i="1"/>
  <c r="N8" i="1"/>
  <c r="E24" i="1"/>
  <c r="D8" i="1"/>
  <c r="E8" i="1" s="1"/>
  <c r="AD7" i="1"/>
  <c r="N7" i="1"/>
  <c r="E23" i="1"/>
  <c r="D7" i="1"/>
  <c r="E7" i="1" s="1"/>
  <c r="AD6" i="1"/>
  <c r="N6" i="1"/>
  <c r="E22" i="1"/>
  <c r="D6" i="1"/>
  <c r="E6" i="1" s="1"/>
  <c r="AD5" i="1"/>
  <c r="N5" i="1"/>
  <c r="E21" i="1"/>
  <c r="D5" i="1"/>
  <c r="E5" i="1" s="1"/>
  <c r="AD4" i="1"/>
  <c r="N4" i="1"/>
  <c r="E20" i="1"/>
  <c r="D4" i="1"/>
  <c r="E4" i="1" s="1"/>
  <c r="AD3" i="1"/>
  <c r="N3" i="1"/>
  <c r="E19" i="1"/>
  <c r="D3" i="1"/>
  <c r="E3" i="1" s="1"/>
  <c r="AD2" i="1"/>
  <c r="N2" i="1"/>
  <c r="E18" i="1"/>
  <c r="D2" i="1"/>
  <c r="T17" i="1" l="1"/>
  <c r="T16" i="1"/>
</calcChain>
</file>

<file path=xl/sharedStrings.xml><?xml version="1.0" encoding="utf-8"?>
<sst xmlns="http://schemas.openxmlformats.org/spreadsheetml/2006/main" count="62" uniqueCount="29">
  <si>
    <t>Year</t>
  </si>
  <si>
    <t>Applicants</t>
  </si>
  <si>
    <t>Accepted</t>
  </si>
  <si>
    <t>refused</t>
  </si>
  <si>
    <t>Population</t>
  </si>
  <si>
    <t>Workers</t>
  </si>
  <si>
    <t>Peasants</t>
  </si>
  <si>
    <t>Clerk_SelfEm</t>
  </si>
  <si>
    <t>Managment</t>
  </si>
  <si>
    <t>Retired</t>
  </si>
  <si>
    <t>Party_officers</t>
  </si>
  <si>
    <t>students</t>
  </si>
  <si>
    <t>blue_collar_farmers_percent</t>
  </si>
  <si>
    <t>manag_percent</t>
  </si>
  <si>
    <t>clerk_percent</t>
  </si>
  <si>
    <t>offic_percentage</t>
  </si>
  <si>
    <t>tot_MC_Rich</t>
  </si>
  <si>
    <t>GDP_pc_T</t>
  </si>
  <si>
    <t>pc_90</t>
  </si>
  <si>
    <t>tot_inc_all</t>
  </si>
  <si>
    <t>China_best_country</t>
  </si>
  <si>
    <t>Japan_bad_genron</t>
  </si>
  <si>
    <t>Acceptance</t>
  </si>
  <si>
    <t>app_pop</t>
  </si>
  <si>
    <t>app_percentage</t>
  </si>
  <si>
    <t>decision</t>
  </si>
  <si>
    <t>value</t>
  </si>
  <si>
    <t>accepted</t>
  </si>
  <si>
    <t>value100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</si>
</sst>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color rgb="FF000000"/>
      <name val="Calibri"/>
      <family val="2"/>
      <scheme val="minor"/>
    </font>
    <font>
      <sz val="14"/>
      <name val="Times New Roman"/>
      <family val="1"/>
    </font>
    <font>
      <sz val="11"/>
      <color rgb="FF000000"/>
      <name val="Lucida Grande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1" applyFont="1"/>
    <xf numFmtId="2" fontId="2" fillId="0" borderId="0" xfId="0" applyNumberFormat="1" applyFont="1"/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3B1FA-F497-944F-A35B-33EEB84DB783}">
  <dimension ref="A1:AD33"/>
  <sheetViews>
    <sheetView tabSelected="1" zoomScale="84" workbookViewId="0">
      <selection activeCell="I21" sqref="I21"/>
    </sheetView>
  </sheetViews>
  <sheetFormatPr baseColWidth="10" defaultRowHeight="16" x14ac:dyDescent="0.2"/>
  <cols>
    <col min="5" max="5" width="10.83203125" style="7"/>
  </cols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s="7" t="s">
        <v>28</v>
      </c>
      <c r="F1" t="s">
        <v>25</v>
      </c>
      <c r="G1" t="s">
        <v>26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17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</row>
    <row r="2" spans="1:30" ht="19" x14ac:dyDescent="0.25">
      <c r="A2">
        <v>2000</v>
      </c>
      <c r="B2" s="1">
        <v>13954</v>
      </c>
      <c r="C2" s="1">
        <v>2068</v>
      </c>
      <c r="D2" s="1">
        <f>B2-C2</f>
        <v>11886</v>
      </c>
      <c r="E2" s="6">
        <f>(D2/B2)*100</f>
        <v>85.17987673785295</v>
      </c>
      <c r="F2" s="1" t="s">
        <v>3</v>
      </c>
      <c r="G2" s="1">
        <f>B2-C2</f>
        <v>11886</v>
      </c>
      <c r="H2" s="2">
        <v>1262645</v>
      </c>
      <c r="N2">
        <f t="shared" ref="N2:N8" si="0">(S2*C2)/100000</f>
        <v>0.17371200000000001</v>
      </c>
      <c r="S2">
        <v>8.4</v>
      </c>
      <c r="U2">
        <v>959</v>
      </c>
      <c r="V2">
        <v>0.35</v>
      </c>
      <c r="W2" s="3">
        <v>3356.7757000000001</v>
      </c>
      <c r="X2" s="4">
        <v>0.6</v>
      </c>
      <c r="Y2">
        <v>959</v>
      </c>
      <c r="Z2" s="4">
        <v>0.6</v>
      </c>
      <c r="AB2">
        <v>2</v>
      </c>
      <c r="AC2">
        <v>1.1000000000000001</v>
      </c>
      <c r="AD2">
        <f>(C2-63000)*0.001</f>
        <v>-60.932000000000002</v>
      </c>
    </row>
    <row r="3" spans="1:30" ht="19" x14ac:dyDescent="0.25">
      <c r="A3">
        <v>2001</v>
      </c>
      <c r="B3" s="1">
        <v>14447</v>
      </c>
      <c r="C3" s="1">
        <v>2196</v>
      </c>
      <c r="D3" s="1">
        <f t="shared" ref="D3:D33" si="1">B3-C3</f>
        <v>12251</v>
      </c>
      <c r="E3" s="6">
        <f t="shared" ref="E3:E17" si="2">(D3/B3)*100</f>
        <v>84.799612376271895</v>
      </c>
      <c r="F3" s="1" t="s">
        <v>3</v>
      </c>
      <c r="G3" s="1">
        <f t="shared" ref="G3:G17" si="3">B3-C3</f>
        <v>12251</v>
      </c>
      <c r="H3" s="2">
        <v>1271850</v>
      </c>
      <c r="N3">
        <f t="shared" si="0"/>
        <v>0.18446400000000002</v>
      </c>
      <c r="S3">
        <v>8.4</v>
      </c>
      <c r="U3">
        <v>1053</v>
      </c>
      <c r="V3">
        <v>0.35</v>
      </c>
      <c r="W3" s="3">
        <v>3564.8546000000001</v>
      </c>
      <c r="X3" s="4">
        <v>0.6</v>
      </c>
      <c r="Y3">
        <v>1053</v>
      </c>
      <c r="Z3" s="4">
        <v>0.6</v>
      </c>
      <c r="AB3">
        <v>1</v>
      </c>
      <c r="AC3">
        <v>1.1000000000000001</v>
      </c>
      <c r="AD3">
        <f t="shared" ref="AD3:AD17" si="4">(C3-C2)*0.001</f>
        <v>0.128</v>
      </c>
    </row>
    <row r="4" spans="1:30" ht="19" x14ac:dyDescent="0.25">
      <c r="A4">
        <v>2002</v>
      </c>
      <c r="B4" s="1">
        <v>15128</v>
      </c>
      <c r="C4" s="1">
        <v>2096</v>
      </c>
      <c r="D4" s="1">
        <f t="shared" si="1"/>
        <v>13032</v>
      </c>
      <c r="E4" s="6">
        <f t="shared" si="2"/>
        <v>86.144896879957699</v>
      </c>
      <c r="F4" s="1" t="s">
        <v>3</v>
      </c>
      <c r="G4" s="1">
        <f t="shared" si="3"/>
        <v>13032</v>
      </c>
      <c r="H4" s="2">
        <v>1280400</v>
      </c>
      <c r="N4">
        <f t="shared" si="0"/>
        <v>0.17606400000000003</v>
      </c>
      <c r="S4">
        <v>8.4</v>
      </c>
      <c r="U4">
        <v>1148</v>
      </c>
      <c r="V4">
        <v>0.35</v>
      </c>
      <c r="W4" s="3">
        <v>3877.2703000000001</v>
      </c>
      <c r="X4">
        <v>0.62</v>
      </c>
      <c r="Y4">
        <v>1148</v>
      </c>
      <c r="Z4">
        <v>0.62</v>
      </c>
      <c r="AB4">
        <v>1</v>
      </c>
      <c r="AC4">
        <v>1.1000000000000001</v>
      </c>
      <c r="AD4">
        <f t="shared" si="4"/>
        <v>-0.1</v>
      </c>
    </row>
    <row r="5" spans="1:30" ht="19" x14ac:dyDescent="0.25">
      <c r="A5">
        <v>2003</v>
      </c>
      <c r="B5" s="1">
        <v>16023</v>
      </c>
      <c r="C5" s="1">
        <v>2235</v>
      </c>
      <c r="D5" s="1">
        <f t="shared" si="1"/>
        <v>13788</v>
      </c>
      <c r="E5" s="6">
        <f t="shared" si="2"/>
        <v>86.051301254446727</v>
      </c>
      <c r="F5" s="1" t="s">
        <v>3</v>
      </c>
      <c r="G5" s="1">
        <f t="shared" si="3"/>
        <v>13788</v>
      </c>
      <c r="H5" s="2">
        <v>1288400</v>
      </c>
      <c r="N5">
        <f t="shared" si="0"/>
        <v>0.18773999999999999</v>
      </c>
      <c r="S5">
        <v>8.4</v>
      </c>
      <c r="U5">
        <v>1289</v>
      </c>
      <c r="V5">
        <v>0.41799999999999998</v>
      </c>
      <c r="W5" s="3">
        <v>4179.4539999999997</v>
      </c>
      <c r="X5" s="4">
        <v>0.67</v>
      </c>
      <c r="Y5">
        <v>1289</v>
      </c>
      <c r="Z5" s="4">
        <v>0.67</v>
      </c>
      <c r="AB5">
        <v>2</v>
      </c>
      <c r="AC5">
        <v>1.2</v>
      </c>
      <c r="AD5">
        <f t="shared" si="4"/>
        <v>0.13900000000000001</v>
      </c>
    </row>
    <row r="6" spans="1:30" ht="19" x14ac:dyDescent="0.25">
      <c r="A6">
        <v>2004</v>
      </c>
      <c r="B6" s="1">
        <v>17380</v>
      </c>
      <c r="C6" s="1">
        <v>2418</v>
      </c>
      <c r="D6" s="1">
        <f t="shared" si="1"/>
        <v>14962</v>
      </c>
      <c r="E6" s="6">
        <f t="shared" si="2"/>
        <v>86.087456846950516</v>
      </c>
      <c r="F6" s="1" t="s">
        <v>3</v>
      </c>
      <c r="G6" s="1">
        <f t="shared" si="3"/>
        <v>14962</v>
      </c>
      <c r="H6" s="2">
        <v>1296075</v>
      </c>
      <c r="N6">
        <f t="shared" si="0"/>
        <v>0.20311200000000001</v>
      </c>
      <c r="S6">
        <v>8.4</v>
      </c>
      <c r="U6">
        <v>1509</v>
      </c>
      <c r="V6">
        <v>0.41799999999999998</v>
      </c>
      <c r="W6" s="3">
        <v>4580.7735000000002</v>
      </c>
      <c r="X6" s="4">
        <v>0.82</v>
      </c>
      <c r="Y6">
        <v>1509</v>
      </c>
      <c r="Z6" s="4">
        <v>0.82</v>
      </c>
      <c r="AB6">
        <v>2</v>
      </c>
      <c r="AC6">
        <v>1.3</v>
      </c>
      <c r="AD6">
        <f t="shared" si="4"/>
        <v>0.183</v>
      </c>
    </row>
    <row r="7" spans="1:30" ht="19" x14ac:dyDescent="0.25">
      <c r="A7">
        <v>2005</v>
      </c>
      <c r="B7" s="1">
        <v>17670</v>
      </c>
      <c r="C7" s="1">
        <v>2470</v>
      </c>
      <c r="D7" s="1">
        <f t="shared" si="1"/>
        <v>15200</v>
      </c>
      <c r="E7" s="6">
        <f t="shared" si="2"/>
        <v>86.021505376344081</v>
      </c>
      <c r="F7" s="1" t="s">
        <v>3</v>
      </c>
      <c r="G7" s="1">
        <f t="shared" si="3"/>
        <v>15200</v>
      </c>
      <c r="H7" s="2">
        <v>1303720</v>
      </c>
      <c r="I7">
        <v>7.31</v>
      </c>
      <c r="J7">
        <v>23.63</v>
      </c>
      <c r="N7">
        <f t="shared" si="0"/>
        <v>0.20748</v>
      </c>
      <c r="P7">
        <v>43.7</v>
      </c>
      <c r="Q7">
        <v>0</v>
      </c>
      <c r="R7">
        <v>0</v>
      </c>
      <c r="S7">
        <v>8.4</v>
      </c>
      <c r="U7">
        <v>1753</v>
      </c>
      <c r="V7">
        <v>0.41799999999999998</v>
      </c>
      <c r="W7" s="3">
        <v>5041.5744000000004</v>
      </c>
      <c r="X7" s="4">
        <v>0.8</v>
      </c>
      <c r="Y7">
        <v>1753</v>
      </c>
      <c r="Z7" s="4">
        <v>0.8</v>
      </c>
      <c r="AA7">
        <v>62.9</v>
      </c>
      <c r="AB7">
        <v>1</v>
      </c>
      <c r="AC7">
        <v>1.3</v>
      </c>
      <c r="AD7">
        <f t="shared" si="4"/>
        <v>5.2000000000000005E-2</v>
      </c>
    </row>
    <row r="8" spans="1:30" ht="19" x14ac:dyDescent="0.25">
      <c r="A8">
        <v>2006</v>
      </c>
      <c r="B8" s="1">
        <v>19073</v>
      </c>
      <c r="C8" s="1">
        <v>2635</v>
      </c>
      <c r="D8" s="1">
        <f t="shared" si="1"/>
        <v>16438</v>
      </c>
      <c r="E8" s="6">
        <f t="shared" si="2"/>
        <v>86.184658941959839</v>
      </c>
      <c r="F8" s="1" t="s">
        <v>3</v>
      </c>
      <c r="G8" s="1">
        <f t="shared" si="3"/>
        <v>16438</v>
      </c>
      <c r="H8" s="2">
        <v>1311020</v>
      </c>
      <c r="I8">
        <v>7.2</v>
      </c>
      <c r="J8">
        <v>23.56</v>
      </c>
      <c r="N8">
        <f t="shared" si="0"/>
        <v>0.22134000000000001</v>
      </c>
      <c r="P8">
        <v>42.5</v>
      </c>
      <c r="Q8">
        <v>0</v>
      </c>
      <c r="R8">
        <v>0</v>
      </c>
      <c r="S8">
        <v>8.4</v>
      </c>
      <c r="U8">
        <v>2099</v>
      </c>
      <c r="V8">
        <v>0.41799999999999998</v>
      </c>
      <c r="W8" s="3">
        <v>5640.2737999999999</v>
      </c>
      <c r="X8" s="4">
        <v>0.79</v>
      </c>
      <c r="Y8">
        <v>2099</v>
      </c>
      <c r="Z8" s="4">
        <v>0.79</v>
      </c>
      <c r="AA8">
        <v>56.9</v>
      </c>
      <c r="AB8">
        <v>1</v>
      </c>
      <c r="AC8">
        <v>1.4</v>
      </c>
      <c r="AD8">
        <f t="shared" si="4"/>
        <v>0.16500000000000001</v>
      </c>
    </row>
    <row r="9" spans="1:30" ht="19" x14ac:dyDescent="0.25">
      <c r="A9">
        <v>2007</v>
      </c>
      <c r="B9" s="1">
        <v>19506</v>
      </c>
      <c r="C9" s="1">
        <v>2782</v>
      </c>
      <c r="D9" s="1">
        <f t="shared" si="1"/>
        <v>16724</v>
      </c>
      <c r="E9" s="6">
        <f t="shared" si="2"/>
        <v>85.737721726648203</v>
      </c>
      <c r="F9" s="1" t="s">
        <v>3</v>
      </c>
      <c r="G9" s="1">
        <f t="shared" si="3"/>
        <v>16724</v>
      </c>
      <c r="H9" s="2">
        <v>1317885</v>
      </c>
      <c r="I9">
        <v>7.22</v>
      </c>
      <c r="J9">
        <v>23.55</v>
      </c>
      <c r="N9">
        <f>(S9*C9)/100000</f>
        <v>0.23368799999999998</v>
      </c>
      <c r="P9">
        <v>41.5</v>
      </c>
      <c r="Q9">
        <v>0</v>
      </c>
      <c r="R9">
        <v>0</v>
      </c>
      <c r="S9">
        <v>8.4</v>
      </c>
      <c r="U9">
        <v>2694</v>
      </c>
      <c r="V9">
        <v>0.41799999999999998</v>
      </c>
      <c r="W9" s="3">
        <v>6389.0780000000004</v>
      </c>
      <c r="X9" s="4">
        <v>0.75</v>
      </c>
      <c r="Y9">
        <v>2694</v>
      </c>
      <c r="Z9" s="4">
        <v>0.75</v>
      </c>
      <c r="AA9">
        <v>36.5</v>
      </c>
      <c r="AB9">
        <v>2</v>
      </c>
      <c r="AC9">
        <v>1.4</v>
      </c>
      <c r="AD9">
        <f t="shared" si="4"/>
        <v>0.14699999999999999</v>
      </c>
    </row>
    <row r="10" spans="1:30" ht="19" x14ac:dyDescent="0.25">
      <c r="A10">
        <v>2008</v>
      </c>
      <c r="B10" s="1">
        <v>19449</v>
      </c>
      <c r="C10" s="1">
        <v>2807</v>
      </c>
      <c r="D10" s="1">
        <f t="shared" si="1"/>
        <v>16642</v>
      </c>
      <c r="E10" s="6">
        <f t="shared" si="2"/>
        <v>85.567381356367932</v>
      </c>
      <c r="F10" s="1" t="s">
        <v>3</v>
      </c>
      <c r="G10" s="1">
        <f t="shared" si="3"/>
        <v>16642</v>
      </c>
      <c r="H10" s="2">
        <v>1324655</v>
      </c>
      <c r="I10">
        <v>7.34</v>
      </c>
      <c r="J10">
        <v>23.61</v>
      </c>
      <c r="K10">
        <v>22.48</v>
      </c>
      <c r="M10">
        <v>14.28</v>
      </c>
      <c r="N10">
        <v>6.21</v>
      </c>
      <c r="O10">
        <v>2.14</v>
      </c>
      <c r="P10">
        <v>40.76</v>
      </c>
      <c r="Q10">
        <v>0</v>
      </c>
      <c r="R10">
        <v>0</v>
      </c>
      <c r="S10">
        <v>8.4</v>
      </c>
      <c r="T10" s="5">
        <v>29.61</v>
      </c>
      <c r="U10">
        <v>3468</v>
      </c>
      <c r="V10">
        <v>0.41799999999999998</v>
      </c>
      <c r="W10" s="3">
        <v>6903.0767999999998</v>
      </c>
      <c r="X10" s="4">
        <v>0.8</v>
      </c>
      <c r="Y10">
        <v>3468</v>
      </c>
      <c r="Z10" s="4">
        <v>0.8</v>
      </c>
      <c r="AA10">
        <v>40.6</v>
      </c>
      <c r="AB10">
        <v>2</v>
      </c>
      <c r="AC10">
        <v>1.4</v>
      </c>
      <c r="AD10">
        <f t="shared" si="4"/>
        <v>2.5000000000000001E-2</v>
      </c>
    </row>
    <row r="11" spans="1:30" ht="19" x14ac:dyDescent="0.25">
      <c r="A11">
        <v>2009</v>
      </c>
      <c r="B11" s="1">
        <v>20000</v>
      </c>
      <c r="C11" s="1">
        <v>2971</v>
      </c>
      <c r="D11" s="1">
        <f t="shared" si="1"/>
        <v>17029</v>
      </c>
      <c r="E11" s="6">
        <f t="shared" si="2"/>
        <v>85.14500000000001</v>
      </c>
      <c r="F11" s="1" t="s">
        <v>3</v>
      </c>
      <c r="G11" s="1">
        <f t="shared" si="3"/>
        <v>17029</v>
      </c>
      <c r="H11" s="2">
        <v>1331260</v>
      </c>
      <c r="I11">
        <v>7.33</v>
      </c>
      <c r="J11">
        <v>23.63</v>
      </c>
      <c r="K11">
        <v>25.99</v>
      </c>
      <c r="N11">
        <f>(S11*C11)/100000</f>
        <v>0.24956400000000001</v>
      </c>
      <c r="P11">
        <v>39.700000000000003</v>
      </c>
      <c r="Q11">
        <v>0</v>
      </c>
      <c r="R11">
        <v>0</v>
      </c>
      <c r="S11">
        <v>8.4</v>
      </c>
      <c r="T11">
        <v>30</v>
      </c>
      <c r="U11">
        <v>3823</v>
      </c>
      <c r="V11">
        <v>0.41799999999999998</v>
      </c>
      <c r="W11" s="3">
        <v>7443.8657000000003</v>
      </c>
      <c r="X11" s="4">
        <v>0.9</v>
      </c>
      <c r="Y11">
        <v>3823</v>
      </c>
      <c r="Z11" s="4">
        <v>0.9</v>
      </c>
      <c r="AA11">
        <v>65.2</v>
      </c>
      <c r="AB11">
        <v>2</v>
      </c>
      <c r="AC11">
        <v>1.5</v>
      </c>
      <c r="AD11">
        <f t="shared" si="4"/>
        <v>0.16400000000000001</v>
      </c>
    </row>
    <row r="12" spans="1:30" ht="19" x14ac:dyDescent="0.25">
      <c r="A12">
        <v>2010</v>
      </c>
      <c r="B12" s="1">
        <v>21017</v>
      </c>
      <c r="C12" s="1">
        <v>3075</v>
      </c>
      <c r="D12" s="1">
        <f t="shared" si="1"/>
        <v>17942</v>
      </c>
      <c r="E12" s="6">
        <f t="shared" si="2"/>
        <v>85.368987010515298</v>
      </c>
      <c r="F12" s="1" t="s">
        <v>3</v>
      </c>
      <c r="G12" s="1">
        <f t="shared" si="3"/>
        <v>17942</v>
      </c>
      <c r="H12" s="2">
        <v>1337705</v>
      </c>
      <c r="I12">
        <v>7.2</v>
      </c>
      <c r="J12">
        <v>24.6</v>
      </c>
      <c r="K12">
        <v>26.32</v>
      </c>
      <c r="N12">
        <f>(S12*C12)/100000</f>
        <v>0.25829999999999997</v>
      </c>
      <c r="P12">
        <v>39.619999999999997</v>
      </c>
      <c r="Q12">
        <v>0</v>
      </c>
      <c r="R12">
        <v>0</v>
      </c>
      <c r="S12">
        <v>8.4</v>
      </c>
      <c r="T12">
        <v>30.5</v>
      </c>
      <c r="U12">
        <v>4550</v>
      </c>
      <c r="V12">
        <v>0.41799999999999998</v>
      </c>
      <c r="W12" s="3">
        <v>8124.4210999999996</v>
      </c>
      <c r="X12" s="4">
        <v>0.85</v>
      </c>
      <c r="Y12">
        <v>4550</v>
      </c>
      <c r="Z12" s="4">
        <v>0.85</v>
      </c>
      <c r="AA12">
        <v>55.9</v>
      </c>
      <c r="AB12">
        <v>2</v>
      </c>
      <c r="AC12">
        <v>1.5</v>
      </c>
      <c r="AD12">
        <f t="shared" si="4"/>
        <v>0.10400000000000001</v>
      </c>
    </row>
    <row r="13" spans="1:30" ht="19" x14ac:dyDescent="0.25">
      <c r="A13">
        <v>2011</v>
      </c>
      <c r="B13" s="1">
        <v>21604</v>
      </c>
      <c r="C13" s="1">
        <v>2167</v>
      </c>
      <c r="D13" s="1">
        <f t="shared" si="1"/>
        <v>19437</v>
      </c>
      <c r="E13" s="6">
        <f t="shared" si="2"/>
        <v>89.96945010183299</v>
      </c>
      <c r="F13" s="1" t="s">
        <v>3</v>
      </c>
      <c r="G13" s="1">
        <f t="shared" si="3"/>
        <v>19437</v>
      </c>
      <c r="H13" s="2">
        <v>1344130</v>
      </c>
      <c r="I13">
        <v>7.23</v>
      </c>
      <c r="J13">
        <v>24.65</v>
      </c>
      <c r="K13">
        <v>22.64</v>
      </c>
      <c r="L13">
        <v>4</v>
      </c>
      <c r="N13">
        <v>6.94</v>
      </c>
      <c r="P13">
        <v>38.6</v>
      </c>
      <c r="Q13">
        <f>(L13*100000)/C13</f>
        <v>184.58698661744347</v>
      </c>
      <c r="R13">
        <f>(K13*100000)/C13</f>
        <v>1044.7623442547301</v>
      </c>
      <c r="S13">
        <v>8.4</v>
      </c>
      <c r="T13">
        <v>31</v>
      </c>
      <c r="U13">
        <v>5618</v>
      </c>
      <c r="V13">
        <v>0.41799999999999998</v>
      </c>
      <c r="W13" s="3">
        <v>8735.3055999999997</v>
      </c>
      <c r="X13" s="4">
        <v>0.8</v>
      </c>
      <c r="Y13">
        <v>5618</v>
      </c>
      <c r="Z13" s="4">
        <v>0.8</v>
      </c>
      <c r="AA13">
        <v>65.900000000000006</v>
      </c>
      <c r="AB13">
        <v>2</v>
      </c>
      <c r="AC13">
        <v>1.6</v>
      </c>
      <c r="AD13">
        <f t="shared" si="4"/>
        <v>-0.90800000000000003</v>
      </c>
    </row>
    <row r="14" spans="1:30" ht="19" x14ac:dyDescent="0.25">
      <c r="A14">
        <v>2012</v>
      </c>
      <c r="B14" s="1">
        <v>21862</v>
      </c>
      <c r="C14" s="1">
        <v>3233</v>
      </c>
      <c r="D14" s="1">
        <f t="shared" si="1"/>
        <v>18629</v>
      </c>
      <c r="E14" s="6">
        <f t="shared" si="2"/>
        <v>85.211783002470042</v>
      </c>
      <c r="F14" s="1" t="s">
        <v>3</v>
      </c>
      <c r="G14" s="1">
        <f t="shared" si="3"/>
        <v>18629</v>
      </c>
      <c r="H14" s="2">
        <v>1350695</v>
      </c>
      <c r="I14">
        <v>7.25</v>
      </c>
      <c r="J14">
        <v>25.35</v>
      </c>
      <c r="K14">
        <v>22.24</v>
      </c>
      <c r="L14">
        <v>4.57</v>
      </c>
      <c r="M14">
        <v>15.54</v>
      </c>
      <c r="N14">
        <v>7.16</v>
      </c>
      <c r="O14">
        <v>2.9</v>
      </c>
      <c r="P14">
        <v>38.29</v>
      </c>
      <c r="Q14">
        <f>(L14*100000)/C14</f>
        <v>141.3547788431797</v>
      </c>
      <c r="R14">
        <f>(K14*100000)/C14</f>
        <v>687.90596968759667</v>
      </c>
      <c r="S14">
        <v>8.41</v>
      </c>
      <c r="T14">
        <v>31.48</v>
      </c>
      <c r="U14">
        <v>6317</v>
      </c>
      <c r="V14">
        <v>0.41799999999999998</v>
      </c>
      <c r="W14" s="3">
        <v>9446.7481000000007</v>
      </c>
      <c r="X14" s="4">
        <v>0.75</v>
      </c>
      <c r="Y14">
        <v>6317</v>
      </c>
      <c r="Z14" s="4">
        <v>0.75</v>
      </c>
      <c r="AA14">
        <v>64.5</v>
      </c>
      <c r="AB14">
        <v>2</v>
      </c>
      <c r="AC14">
        <v>1.6</v>
      </c>
      <c r="AD14">
        <f t="shared" si="4"/>
        <v>1.0660000000000001</v>
      </c>
    </row>
    <row r="15" spans="1:30" ht="19" x14ac:dyDescent="0.25">
      <c r="A15">
        <v>2013</v>
      </c>
      <c r="B15" s="1">
        <v>21661</v>
      </c>
      <c r="C15" s="1">
        <v>2408</v>
      </c>
      <c r="D15" s="1">
        <f t="shared" si="1"/>
        <v>19253</v>
      </c>
      <c r="E15" s="6">
        <f t="shared" si="2"/>
        <v>88.883246387516735</v>
      </c>
      <c r="F15" s="1" t="s">
        <v>3</v>
      </c>
      <c r="G15" s="1">
        <f t="shared" si="3"/>
        <v>19253</v>
      </c>
      <c r="H15" s="2">
        <v>1357380</v>
      </c>
      <c r="I15">
        <v>7.34</v>
      </c>
      <c r="J15">
        <v>25.7</v>
      </c>
      <c r="K15">
        <v>22.77</v>
      </c>
      <c r="L15">
        <v>5.07</v>
      </c>
      <c r="M15">
        <v>15.89</v>
      </c>
      <c r="N15">
        <v>7.3</v>
      </c>
      <c r="O15">
        <v>2.6</v>
      </c>
      <c r="P15">
        <v>38.1</v>
      </c>
      <c r="Q15">
        <f>(L15*100000)/C15</f>
        <v>210.54817275747507</v>
      </c>
      <c r="R15">
        <f>(K15*100000)/C15</f>
        <v>945.59800664451825</v>
      </c>
      <c r="S15">
        <v>8.23</v>
      </c>
      <c r="T15">
        <f>R15+Q15</f>
        <v>1156.1461794019933</v>
      </c>
      <c r="U15">
        <v>7051</v>
      </c>
      <c r="V15">
        <v>0.41799999999999998</v>
      </c>
      <c r="W15" s="3">
        <v>10303.1793</v>
      </c>
      <c r="X15" s="4">
        <v>0.72</v>
      </c>
      <c r="Y15">
        <v>7051</v>
      </c>
      <c r="Z15" s="4">
        <v>0.72</v>
      </c>
      <c r="AA15">
        <v>92.8</v>
      </c>
      <c r="AB15">
        <v>2</v>
      </c>
      <c r="AC15">
        <v>1.6</v>
      </c>
      <c r="AD15">
        <f t="shared" si="4"/>
        <v>-0.82500000000000007</v>
      </c>
    </row>
    <row r="16" spans="1:30" ht="19" x14ac:dyDescent="0.25">
      <c r="A16">
        <v>2014</v>
      </c>
      <c r="B16" s="1">
        <v>21815</v>
      </c>
      <c r="C16" s="1">
        <v>2057</v>
      </c>
      <c r="D16" s="1">
        <f t="shared" si="1"/>
        <v>19758</v>
      </c>
      <c r="E16" s="6">
        <f t="shared" si="2"/>
        <v>90.570708228283294</v>
      </c>
      <c r="F16" s="1" t="s">
        <v>3</v>
      </c>
      <c r="G16" s="1">
        <f t="shared" si="3"/>
        <v>19758</v>
      </c>
      <c r="H16" s="2">
        <v>1364270</v>
      </c>
      <c r="I16">
        <v>7.34</v>
      </c>
      <c r="J16">
        <v>25.9</v>
      </c>
      <c r="K16">
        <v>19.64</v>
      </c>
      <c r="L16">
        <v>9.02</v>
      </c>
      <c r="M16">
        <v>16.22</v>
      </c>
      <c r="N16">
        <v>7.4</v>
      </c>
      <c r="O16">
        <v>2.25</v>
      </c>
      <c r="P16">
        <v>37.86</v>
      </c>
      <c r="Q16">
        <f>(L16*100000)/C16</f>
        <v>438.50267379679144</v>
      </c>
      <c r="R16">
        <f>(K16*100000)/C16</f>
        <v>954.78852698104038</v>
      </c>
      <c r="S16">
        <v>8.43</v>
      </c>
      <c r="T16">
        <f>R16+Q16</f>
        <v>1393.2912007778318</v>
      </c>
      <c r="U16">
        <v>7679</v>
      </c>
      <c r="V16">
        <v>0.41799999999999998</v>
      </c>
      <c r="W16" s="3">
        <v>11217.584800000001</v>
      </c>
      <c r="X16" s="4">
        <v>0.78</v>
      </c>
      <c r="Y16">
        <v>7679</v>
      </c>
      <c r="Z16" s="4">
        <v>0.78</v>
      </c>
      <c r="AA16">
        <v>86.8</v>
      </c>
      <c r="AB16">
        <v>2</v>
      </c>
      <c r="AC16">
        <v>1.6</v>
      </c>
      <c r="AD16">
        <f t="shared" si="4"/>
        <v>-0.35100000000000003</v>
      </c>
    </row>
    <row r="17" spans="1:30" ht="19" x14ac:dyDescent="0.25">
      <c r="A17">
        <v>2015</v>
      </c>
      <c r="B17" s="1">
        <v>22247</v>
      </c>
      <c r="C17" s="1">
        <v>1965</v>
      </c>
      <c r="D17" s="1">
        <f t="shared" si="1"/>
        <v>20282</v>
      </c>
      <c r="E17" s="6">
        <f t="shared" si="2"/>
        <v>91.167348406526727</v>
      </c>
      <c r="F17" s="1" t="s">
        <v>3</v>
      </c>
      <c r="G17" s="1">
        <f t="shared" si="3"/>
        <v>20282</v>
      </c>
      <c r="H17" s="2">
        <v>1371220</v>
      </c>
      <c r="I17">
        <v>7.24</v>
      </c>
      <c r="J17">
        <v>26.02</v>
      </c>
      <c r="K17">
        <v>20.27</v>
      </c>
      <c r="L17">
        <v>9.11</v>
      </c>
      <c r="M17">
        <v>16.579999999999998</v>
      </c>
      <c r="N17">
        <v>7.48</v>
      </c>
      <c r="O17">
        <v>2.0299999999999998</v>
      </c>
      <c r="P17">
        <v>37.47</v>
      </c>
      <c r="Q17">
        <f>(L17*100000)/C17</f>
        <v>463.61323155216286</v>
      </c>
      <c r="R17">
        <f>(K17*100000)/C17</f>
        <v>1031.5521628498727</v>
      </c>
      <c r="S17">
        <v>8.42</v>
      </c>
      <c r="T17">
        <f t="shared" ref="T17" si="5">R17+Q17</f>
        <v>1495.1653944020356</v>
      </c>
      <c r="U17">
        <v>8067</v>
      </c>
      <c r="V17">
        <v>0.41799999999999998</v>
      </c>
      <c r="W17" s="3">
        <v>11897.8006</v>
      </c>
      <c r="X17" s="4">
        <v>0.85</v>
      </c>
      <c r="Y17">
        <v>8067</v>
      </c>
      <c r="Z17" s="4">
        <v>0.85</v>
      </c>
      <c r="AA17">
        <v>78.3</v>
      </c>
      <c r="AB17">
        <v>1</v>
      </c>
      <c r="AC17">
        <v>1.6</v>
      </c>
      <c r="AD17">
        <f t="shared" si="4"/>
        <v>-9.1999999999999998E-2</v>
      </c>
    </row>
    <row r="18" spans="1:30" ht="19" x14ac:dyDescent="0.25">
      <c r="A18">
        <v>2000</v>
      </c>
      <c r="B18" s="1">
        <v>13954</v>
      </c>
      <c r="C18" s="1">
        <v>2068</v>
      </c>
      <c r="D18" s="1">
        <f>B18-C18</f>
        <v>11886</v>
      </c>
      <c r="E18" s="6">
        <f t="shared" ref="E18:E33" si="6">(C2/B2)*100</f>
        <v>14.820123262147057</v>
      </c>
      <c r="F18" s="1" t="s">
        <v>27</v>
      </c>
      <c r="G18" s="1">
        <v>2068</v>
      </c>
      <c r="H18" s="2">
        <v>1262645</v>
      </c>
      <c r="N18">
        <f t="shared" ref="N18:N24" si="7">(S18*C18)/100000</f>
        <v>0.17371200000000001</v>
      </c>
      <c r="S18">
        <v>8.4</v>
      </c>
      <c r="U18">
        <v>959</v>
      </c>
      <c r="V18">
        <v>0.35</v>
      </c>
      <c r="W18" s="3">
        <v>3356.7757000000001</v>
      </c>
      <c r="X18" s="4">
        <v>0.6</v>
      </c>
      <c r="Y18">
        <v>959</v>
      </c>
      <c r="Z18" s="4">
        <v>0.6</v>
      </c>
      <c r="AB18">
        <v>2</v>
      </c>
      <c r="AC18">
        <v>1.1000000000000001</v>
      </c>
      <c r="AD18">
        <f>(C18-63000)*0.001</f>
        <v>-60.932000000000002</v>
      </c>
    </row>
    <row r="19" spans="1:30" ht="19" x14ac:dyDescent="0.25">
      <c r="A19">
        <v>2001</v>
      </c>
      <c r="B19" s="1">
        <v>14447</v>
      </c>
      <c r="C19" s="1">
        <v>2196</v>
      </c>
      <c r="D19" s="1">
        <f t="shared" si="1"/>
        <v>12251</v>
      </c>
      <c r="E19" s="6">
        <f t="shared" si="6"/>
        <v>15.20038762372811</v>
      </c>
      <c r="F19" s="1" t="s">
        <v>27</v>
      </c>
      <c r="G19" s="1">
        <v>2196</v>
      </c>
      <c r="H19" s="2">
        <v>1271850</v>
      </c>
      <c r="N19">
        <f t="shared" si="7"/>
        <v>0.18446400000000002</v>
      </c>
      <c r="S19">
        <v>8.4</v>
      </c>
      <c r="U19">
        <v>1053</v>
      </c>
      <c r="V19">
        <v>0.35</v>
      </c>
      <c r="W19" s="3">
        <v>3564.8546000000001</v>
      </c>
      <c r="X19" s="4">
        <v>0.6</v>
      </c>
      <c r="Y19">
        <v>1053</v>
      </c>
      <c r="Z19" s="4">
        <v>0.6</v>
      </c>
      <c r="AB19">
        <v>1</v>
      </c>
      <c r="AC19">
        <v>1.1000000000000001</v>
      </c>
      <c r="AD19">
        <f t="shared" ref="AD19:AD33" si="8">(C19-C18)*0.001</f>
        <v>0.128</v>
      </c>
    </row>
    <row r="20" spans="1:30" ht="19" x14ac:dyDescent="0.25">
      <c r="A20">
        <v>2002</v>
      </c>
      <c r="B20" s="1">
        <v>15128</v>
      </c>
      <c r="C20" s="1">
        <v>2096</v>
      </c>
      <c r="D20" s="1">
        <f t="shared" si="1"/>
        <v>13032</v>
      </c>
      <c r="E20" s="6">
        <f t="shared" si="6"/>
        <v>13.855103120042306</v>
      </c>
      <c r="F20" s="1" t="s">
        <v>27</v>
      </c>
      <c r="G20" s="1">
        <v>2096</v>
      </c>
      <c r="H20" s="2">
        <v>1280400</v>
      </c>
      <c r="N20">
        <f t="shared" si="7"/>
        <v>0.17606400000000003</v>
      </c>
      <c r="S20">
        <v>8.4</v>
      </c>
      <c r="U20">
        <v>1148</v>
      </c>
      <c r="V20">
        <v>0.35</v>
      </c>
      <c r="W20" s="3">
        <v>3877.2703000000001</v>
      </c>
      <c r="X20">
        <v>0.62</v>
      </c>
      <c r="Y20">
        <v>1148</v>
      </c>
      <c r="Z20">
        <v>0.62</v>
      </c>
      <c r="AB20">
        <v>1</v>
      </c>
      <c r="AC20">
        <v>1.1000000000000001</v>
      </c>
      <c r="AD20">
        <f t="shared" si="8"/>
        <v>-0.1</v>
      </c>
    </row>
    <row r="21" spans="1:30" ht="19" x14ac:dyDescent="0.25">
      <c r="A21">
        <v>2003</v>
      </c>
      <c r="B21" s="1">
        <v>16023</v>
      </c>
      <c r="C21" s="1">
        <v>2235</v>
      </c>
      <c r="D21" s="1">
        <f t="shared" si="1"/>
        <v>13788</v>
      </c>
      <c r="E21" s="6">
        <f t="shared" si="6"/>
        <v>13.948698745553267</v>
      </c>
      <c r="F21" s="1" t="s">
        <v>27</v>
      </c>
      <c r="G21" s="1">
        <v>2235</v>
      </c>
      <c r="H21" s="2">
        <v>1288400</v>
      </c>
      <c r="N21">
        <f t="shared" si="7"/>
        <v>0.18773999999999999</v>
      </c>
      <c r="S21">
        <v>8.4</v>
      </c>
      <c r="U21">
        <v>1289</v>
      </c>
      <c r="V21">
        <v>0.41799999999999998</v>
      </c>
      <c r="W21" s="3">
        <v>4179.4539999999997</v>
      </c>
      <c r="X21" s="4">
        <v>0.67</v>
      </c>
      <c r="Y21">
        <v>1289</v>
      </c>
      <c r="Z21" s="4">
        <v>0.67</v>
      </c>
      <c r="AB21">
        <v>2</v>
      </c>
      <c r="AC21">
        <v>1.2</v>
      </c>
      <c r="AD21">
        <f t="shared" si="8"/>
        <v>0.13900000000000001</v>
      </c>
    </row>
    <row r="22" spans="1:30" ht="19" x14ac:dyDescent="0.25">
      <c r="A22">
        <v>2004</v>
      </c>
      <c r="B22" s="1">
        <v>17380</v>
      </c>
      <c r="C22" s="1">
        <v>2418</v>
      </c>
      <c r="D22" s="1">
        <f t="shared" si="1"/>
        <v>14962</v>
      </c>
      <c r="E22" s="6">
        <f t="shared" si="6"/>
        <v>13.91254315304948</v>
      </c>
      <c r="F22" s="1" t="s">
        <v>27</v>
      </c>
      <c r="G22" s="1">
        <v>2418</v>
      </c>
      <c r="H22" s="2">
        <v>1296075</v>
      </c>
      <c r="N22">
        <f t="shared" si="7"/>
        <v>0.20311200000000001</v>
      </c>
      <c r="S22">
        <v>8.4</v>
      </c>
      <c r="U22">
        <v>1509</v>
      </c>
      <c r="V22">
        <v>0.41799999999999998</v>
      </c>
      <c r="W22" s="3">
        <v>4580.7735000000002</v>
      </c>
      <c r="X22" s="4">
        <v>0.82</v>
      </c>
      <c r="Y22">
        <v>1509</v>
      </c>
      <c r="Z22" s="4">
        <v>0.82</v>
      </c>
      <c r="AB22">
        <v>2</v>
      </c>
      <c r="AC22">
        <v>1.3</v>
      </c>
      <c r="AD22">
        <f t="shared" si="8"/>
        <v>0.183</v>
      </c>
    </row>
    <row r="23" spans="1:30" ht="19" x14ac:dyDescent="0.25">
      <c r="A23">
        <v>2005</v>
      </c>
      <c r="B23" s="1">
        <v>17670</v>
      </c>
      <c r="C23" s="1">
        <v>2470</v>
      </c>
      <c r="D23" s="1">
        <f t="shared" si="1"/>
        <v>15200</v>
      </c>
      <c r="E23" s="6">
        <f t="shared" si="6"/>
        <v>13.978494623655912</v>
      </c>
      <c r="F23" s="1" t="s">
        <v>27</v>
      </c>
      <c r="G23" s="1">
        <v>2470</v>
      </c>
      <c r="H23" s="2">
        <v>1303720</v>
      </c>
      <c r="I23">
        <v>7.31</v>
      </c>
      <c r="J23">
        <v>23.63</v>
      </c>
      <c r="N23">
        <f t="shared" si="7"/>
        <v>0.20748</v>
      </c>
      <c r="P23">
        <v>43.7</v>
      </c>
      <c r="Q23">
        <v>0</v>
      </c>
      <c r="R23">
        <v>0</v>
      </c>
      <c r="S23">
        <v>8.4</v>
      </c>
      <c r="U23">
        <v>1753</v>
      </c>
      <c r="V23">
        <v>0.41799999999999998</v>
      </c>
      <c r="W23" s="3">
        <v>5041.5744000000004</v>
      </c>
      <c r="X23" s="4">
        <v>0.8</v>
      </c>
      <c r="Y23">
        <v>1753</v>
      </c>
      <c r="Z23" s="4">
        <v>0.8</v>
      </c>
      <c r="AA23">
        <v>62.9</v>
      </c>
      <c r="AB23">
        <v>1</v>
      </c>
      <c r="AC23">
        <v>1.3</v>
      </c>
      <c r="AD23">
        <f t="shared" si="8"/>
        <v>5.2000000000000005E-2</v>
      </c>
    </row>
    <row r="24" spans="1:30" ht="19" x14ac:dyDescent="0.25">
      <c r="A24">
        <v>2006</v>
      </c>
      <c r="B24" s="1">
        <v>19073</v>
      </c>
      <c r="C24" s="1">
        <v>2635</v>
      </c>
      <c r="D24" s="1">
        <f t="shared" si="1"/>
        <v>16438</v>
      </c>
      <c r="E24" s="6">
        <f t="shared" si="6"/>
        <v>13.815341058040161</v>
      </c>
      <c r="F24" s="1" t="s">
        <v>27</v>
      </c>
      <c r="G24" s="1">
        <v>2635</v>
      </c>
      <c r="H24" s="2">
        <v>1311020</v>
      </c>
      <c r="I24">
        <v>7.2</v>
      </c>
      <c r="J24">
        <v>23.56</v>
      </c>
      <c r="N24">
        <f t="shared" si="7"/>
        <v>0.22134000000000001</v>
      </c>
      <c r="P24">
        <v>42.5</v>
      </c>
      <c r="Q24">
        <v>0</v>
      </c>
      <c r="R24">
        <v>0</v>
      </c>
      <c r="S24">
        <v>8.4</v>
      </c>
      <c r="U24">
        <v>2099</v>
      </c>
      <c r="V24">
        <v>0.41799999999999998</v>
      </c>
      <c r="W24" s="3">
        <v>5640.2737999999999</v>
      </c>
      <c r="X24" s="4">
        <v>0.79</v>
      </c>
      <c r="Y24">
        <v>2099</v>
      </c>
      <c r="Z24" s="4">
        <v>0.79</v>
      </c>
      <c r="AA24">
        <v>56.9</v>
      </c>
      <c r="AB24">
        <v>1</v>
      </c>
      <c r="AC24">
        <v>1.4</v>
      </c>
      <c r="AD24">
        <f t="shared" si="8"/>
        <v>0.16500000000000001</v>
      </c>
    </row>
    <row r="25" spans="1:30" ht="19" x14ac:dyDescent="0.25">
      <c r="A25">
        <v>2007</v>
      </c>
      <c r="B25" s="1">
        <v>19506</v>
      </c>
      <c r="C25" s="1">
        <v>2782</v>
      </c>
      <c r="D25" s="1">
        <f t="shared" si="1"/>
        <v>16724</v>
      </c>
      <c r="E25" s="6">
        <f t="shared" si="6"/>
        <v>14.262278273351789</v>
      </c>
      <c r="F25" s="1" t="s">
        <v>27</v>
      </c>
      <c r="G25" s="1">
        <v>2782</v>
      </c>
      <c r="H25" s="2">
        <v>1317885</v>
      </c>
      <c r="I25">
        <v>7.22</v>
      </c>
      <c r="J25">
        <v>23.55</v>
      </c>
      <c r="N25">
        <f>(S25*C25)/100000</f>
        <v>0.23368799999999998</v>
      </c>
      <c r="P25">
        <v>41.5</v>
      </c>
      <c r="Q25">
        <v>0</v>
      </c>
      <c r="R25">
        <v>0</v>
      </c>
      <c r="S25">
        <v>8.4</v>
      </c>
      <c r="U25">
        <v>2694</v>
      </c>
      <c r="V25">
        <v>0.41799999999999998</v>
      </c>
      <c r="W25" s="3">
        <v>6389.0780000000004</v>
      </c>
      <c r="X25" s="4">
        <v>0.75</v>
      </c>
      <c r="Y25">
        <v>2694</v>
      </c>
      <c r="Z25" s="4">
        <v>0.75</v>
      </c>
      <c r="AA25">
        <v>36.5</v>
      </c>
      <c r="AB25">
        <v>2</v>
      </c>
      <c r="AC25">
        <v>1.4</v>
      </c>
      <c r="AD25">
        <f t="shared" si="8"/>
        <v>0.14699999999999999</v>
      </c>
    </row>
    <row r="26" spans="1:30" ht="19" x14ac:dyDescent="0.25">
      <c r="A26">
        <v>2008</v>
      </c>
      <c r="B26" s="1">
        <v>19449</v>
      </c>
      <c r="C26" s="1">
        <v>2807</v>
      </c>
      <c r="D26" s="1">
        <f t="shared" si="1"/>
        <v>16642</v>
      </c>
      <c r="E26" s="6">
        <f t="shared" si="6"/>
        <v>14.432618643632065</v>
      </c>
      <c r="F26" s="1" t="s">
        <v>27</v>
      </c>
      <c r="G26" s="1">
        <v>2807</v>
      </c>
      <c r="H26" s="2">
        <v>1324655</v>
      </c>
      <c r="I26">
        <v>7.34</v>
      </c>
      <c r="J26">
        <v>23.61</v>
      </c>
      <c r="K26">
        <v>22.48</v>
      </c>
      <c r="M26">
        <v>14.28</v>
      </c>
      <c r="N26">
        <v>6.21</v>
      </c>
      <c r="O26">
        <v>2.14</v>
      </c>
      <c r="P26">
        <v>40.76</v>
      </c>
      <c r="Q26">
        <v>0</v>
      </c>
      <c r="R26">
        <v>0</v>
      </c>
      <c r="S26">
        <v>8.4</v>
      </c>
      <c r="T26" s="5">
        <v>29.61</v>
      </c>
      <c r="U26">
        <v>3468</v>
      </c>
      <c r="V26">
        <v>0.41799999999999998</v>
      </c>
      <c r="W26" s="3">
        <v>6903.0767999999998</v>
      </c>
      <c r="X26" s="4">
        <v>0.8</v>
      </c>
      <c r="Y26">
        <v>3468</v>
      </c>
      <c r="Z26" s="4">
        <v>0.8</v>
      </c>
      <c r="AA26">
        <v>40.6</v>
      </c>
      <c r="AB26">
        <v>2</v>
      </c>
      <c r="AC26">
        <v>1.4</v>
      </c>
      <c r="AD26">
        <f t="shared" si="8"/>
        <v>2.5000000000000001E-2</v>
      </c>
    </row>
    <row r="27" spans="1:30" ht="19" x14ac:dyDescent="0.25">
      <c r="A27">
        <v>2009</v>
      </c>
      <c r="B27" s="1">
        <v>20000</v>
      </c>
      <c r="C27" s="1">
        <v>2971</v>
      </c>
      <c r="D27" s="1">
        <f t="shared" si="1"/>
        <v>17029</v>
      </c>
      <c r="E27" s="6">
        <f t="shared" si="6"/>
        <v>14.854999999999999</v>
      </c>
      <c r="F27" s="1" t="s">
        <v>27</v>
      </c>
      <c r="G27" s="1">
        <v>2971</v>
      </c>
      <c r="H27" s="2">
        <v>1331260</v>
      </c>
      <c r="I27">
        <v>7.33</v>
      </c>
      <c r="J27">
        <v>23.63</v>
      </c>
      <c r="K27">
        <v>25.99</v>
      </c>
      <c r="N27">
        <f>(S27*C27)/100000</f>
        <v>0.24956400000000001</v>
      </c>
      <c r="P27">
        <v>39.700000000000003</v>
      </c>
      <c r="Q27">
        <v>0</v>
      </c>
      <c r="R27">
        <v>0</v>
      </c>
      <c r="S27">
        <v>8.4</v>
      </c>
      <c r="T27">
        <v>30</v>
      </c>
      <c r="U27">
        <v>3823</v>
      </c>
      <c r="V27">
        <v>0.41799999999999998</v>
      </c>
      <c r="W27" s="3">
        <v>7443.8657000000003</v>
      </c>
      <c r="X27" s="4">
        <v>0.9</v>
      </c>
      <c r="Y27">
        <v>3823</v>
      </c>
      <c r="Z27" s="4">
        <v>0.9</v>
      </c>
      <c r="AA27">
        <v>65.2</v>
      </c>
      <c r="AB27">
        <v>2</v>
      </c>
      <c r="AC27">
        <v>1.5</v>
      </c>
      <c r="AD27">
        <f t="shared" si="8"/>
        <v>0.16400000000000001</v>
      </c>
    </row>
    <row r="28" spans="1:30" ht="19" x14ac:dyDescent="0.25">
      <c r="A28">
        <v>2010</v>
      </c>
      <c r="B28" s="1">
        <v>21017</v>
      </c>
      <c r="C28" s="1">
        <v>3075</v>
      </c>
      <c r="D28" s="1">
        <f t="shared" si="1"/>
        <v>17942</v>
      </c>
      <c r="E28" s="6">
        <f t="shared" si="6"/>
        <v>14.631012989484704</v>
      </c>
      <c r="F28" s="1" t="s">
        <v>27</v>
      </c>
      <c r="G28" s="1">
        <v>3075</v>
      </c>
      <c r="H28" s="2">
        <v>1337705</v>
      </c>
      <c r="I28">
        <v>7.2</v>
      </c>
      <c r="J28">
        <v>24.6</v>
      </c>
      <c r="K28">
        <v>26.32</v>
      </c>
      <c r="N28">
        <f>(S28*C28)/100000</f>
        <v>0.25829999999999997</v>
      </c>
      <c r="P28">
        <v>39.619999999999997</v>
      </c>
      <c r="Q28">
        <v>0</v>
      </c>
      <c r="R28">
        <v>0</v>
      </c>
      <c r="S28">
        <v>8.4</v>
      </c>
      <c r="T28">
        <v>30.5</v>
      </c>
      <c r="U28">
        <v>4550</v>
      </c>
      <c r="V28">
        <v>0.41799999999999998</v>
      </c>
      <c r="W28" s="3">
        <v>8124.4210999999996</v>
      </c>
      <c r="X28" s="4">
        <v>0.85</v>
      </c>
      <c r="Y28">
        <v>4550</v>
      </c>
      <c r="Z28" s="4">
        <v>0.85</v>
      </c>
      <c r="AA28">
        <v>55.9</v>
      </c>
      <c r="AB28">
        <v>2</v>
      </c>
      <c r="AC28">
        <v>1.5</v>
      </c>
      <c r="AD28">
        <f t="shared" si="8"/>
        <v>0.10400000000000001</v>
      </c>
    </row>
    <row r="29" spans="1:30" ht="19" x14ac:dyDescent="0.25">
      <c r="A29">
        <v>2011</v>
      </c>
      <c r="B29" s="1">
        <v>21604</v>
      </c>
      <c r="C29" s="1">
        <v>2167</v>
      </c>
      <c r="D29" s="1">
        <f t="shared" si="1"/>
        <v>19437</v>
      </c>
      <c r="E29" s="6">
        <f t="shared" si="6"/>
        <v>10.030549898167006</v>
      </c>
      <c r="F29" s="1" t="s">
        <v>27</v>
      </c>
      <c r="G29" s="1">
        <v>2167</v>
      </c>
      <c r="H29" s="2">
        <v>1344130</v>
      </c>
      <c r="I29">
        <v>7.23</v>
      </c>
      <c r="J29">
        <v>24.65</v>
      </c>
      <c r="K29">
        <v>22.64</v>
      </c>
      <c r="L29">
        <v>4</v>
      </c>
      <c r="N29">
        <v>6.94</v>
      </c>
      <c r="P29">
        <v>38.6</v>
      </c>
      <c r="Q29">
        <f>(L29*100000)/C29</f>
        <v>184.58698661744347</v>
      </c>
      <c r="R29">
        <f>(K29*100000)/C29</f>
        <v>1044.7623442547301</v>
      </c>
      <c r="S29">
        <v>8.4</v>
      </c>
      <c r="T29">
        <v>31</v>
      </c>
      <c r="U29">
        <v>5618</v>
      </c>
      <c r="V29">
        <v>0.41799999999999998</v>
      </c>
      <c r="W29" s="3">
        <v>8735.3055999999997</v>
      </c>
      <c r="X29" s="4">
        <v>0.8</v>
      </c>
      <c r="Y29">
        <v>5618</v>
      </c>
      <c r="Z29" s="4">
        <v>0.8</v>
      </c>
      <c r="AA29">
        <v>65.900000000000006</v>
      </c>
      <c r="AB29">
        <v>2</v>
      </c>
      <c r="AC29">
        <v>1.6</v>
      </c>
      <c r="AD29">
        <f t="shared" si="8"/>
        <v>-0.90800000000000003</v>
      </c>
    </row>
    <row r="30" spans="1:30" ht="19" x14ac:dyDescent="0.25">
      <c r="A30">
        <v>2012</v>
      </c>
      <c r="B30" s="1">
        <v>21862</v>
      </c>
      <c r="C30" s="1">
        <v>3233</v>
      </c>
      <c r="D30" s="1">
        <f t="shared" si="1"/>
        <v>18629</v>
      </c>
      <c r="E30" s="6">
        <f t="shared" si="6"/>
        <v>14.788216997529959</v>
      </c>
      <c r="F30" s="1" t="s">
        <v>27</v>
      </c>
      <c r="G30" s="1">
        <v>3233</v>
      </c>
      <c r="H30" s="2">
        <v>1350695</v>
      </c>
      <c r="I30">
        <v>7.25</v>
      </c>
      <c r="J30">
        <v>25.35</v>
      </c>
      <c r="K30">
        <v>22.24</v>
      </c>
      <c r="L30">
        <v>4.57</v>
      </c>
      <c r="M30">
        <v>15.54</v>
      </c>
      <c r="N30">
        <v>7.16</v>
      </c>
      <c r="O30">
        <v>2.9</v>
      </c>
      <c r="P30">
        <v>38.29</v>
      </c>
      <c r="Q30">
        <f>(L30*100000)/C30</f>
        <v>141.3547788431797</v>
      </c>
      <c r="R30">
        <f>(K30*100000)/C30</f>
        <v>687.90596968759667</v>
      </c>
      <c r="S30">
        <v>8.41</v>
      </c>
      <c r="T30">
        <v>31.48</v>
      </c>
      <c r="U30">
        <v>6317</v>
      </c>
      <c r="V30">
        <v>0.41799999999999998</v>
      </c>
      <c r="W30" s="3">
        <v>9446.7481000000007</v>
      </c>
      <c r="X30" s="4">
        <v>0.75</v>
      </c>
      <c r="Y30">
        <v>6317</v>
      </c>
      <c r="Z30" s="4">
        <v>0.75</v>
      </c>
      <c r="AA30">
        <v>64.5</v>
      </c>
      <c r="AB30">
        <v>2</v>
      </c>
      <c r="AC30">
        <v>1.6</v>
      </c>
      <c r="AD30">
        <f t="shared" si="8"/>
        <v>1.0660000000000001</v>
      </c>
    </row>
    <row r="31" spans="1:30" ht="19" x14ac:dyDescent="0.25">
      <c r="A31">
        <v>2013</v>
      </c>
      <c r="B31" s="1">
        <v>21661</v>
      </c>
      <c r="C31" s="1">
        <v>2408</v>
      </c>
      <c r="D31" s="1">
        <f t="shared" si="1"/>
        <v>19253</v>
      </c>
      <c r="E31" s="6">
        <f t="shared" si="6"/>
        <v>11.116753612483265</v>
      </c>
      <c r="F31" s="1" t="s">
        <v>27</v>
      </c>
      <c r="G31" s="1">
        <v>2408</v>
      </c>
      <c r="H31" s="2">
        <v>1357380</v>
      </c>
      <c r="I31">
        <v>7.34</v>
      </c>
      <c r="J31">
        <v>25.7</v>
      </c>
      <c r="K31">
        <v>22.77</v>
      </c>
      <c r="L31">
        <v>5.07</v>
      </c>
      <c r="M31">
        <v>15.89</v>
      </c>
      <c r="N31">
        <v>7.3</v>
      </c>
      <c r="O31">
        <v>2.6</v>
      </c>
      <c r="P31">
        <v>38.1</v>
      </c>
      <c r="Q31">
        <f>(L31*100000)/C31</f>
        <v>210.54817275747507</v>
      </c>
      <c r="R31">
        <f>(K31*100000)/C31</f>
        <v>945.59800664451825</v>
      </c>
      <c r="S31">
        <v>8.23</v>
      </c>
      <c r="T31">
        <f>R31+Q31</f>
        <v>1156.1461794019933</v>
      </c>
      <c r="U31">
        <v>7051</v>
      </c>
      <c r="V31">
        <v>0.41799999999999998</v>
      </c>
      <c r="W31" s="3">
        <v>10303.1793</v>
      </c>
      <c r="X31" s="4">
        <v>0.72</v>
      </c>
      <c r="Y31">
        <v>7051</v>
      </c>
      <c r="Z31" s="4">
        <v>0.72</v>
      </c>
      <c r="AA31">
        <v>92.8</v>
      </c>
      <c r="AB31">
        <v>2</v>
      </c>
      <c r="AC31">
        <v>1.6</v>
      </c>
      <c r="AD31">
        <f t="shared" si="8"/>
        <v>-0.82500000000000007</v>
      </c>
    </row>
    <row r="32" spans="1:30" ht="19" x14ac:dyDescent="0.25">
      <c r="A32">
        <v>2014</v>
      </c>
      <c r="B32" s="1">
        <v>21815</v>
      </c>
      <c r="C32" s="1">
        <v>2057</v>
      </c>
      <c r="D32" s="1">
        <f t="shared" si="1"/>
        <v>19758</v>
      </c>
      <c r="E32" s="6">
        <f t="shared" si="6"/>
        <v>9.4292917717167093</v>
      </c>
      <c r="F32" s="1" t="s">
        <v>27</v>
      </c>
      <c r="G32" s="1">
        <v>2057</v>
      </c>
      <c r="H32" s="2">
        <v>1364270</v>
      </c>
      <c r="I32">
        <v>7.34</v>
      </c>
      <c r="J32">
        <v>25.9</v>
      </c>
      <c r="K32">
        <v>19.64</v>
      </c>
      <c r="L32">
        <v>9.02</v>
      </c>
      <c r="M32">
        <v>16.22</v>
      </c>
      <c r="N32">
        <v>7.4</v>
      </c>
      <c r="O32">
        <v>2.25</v>
      </c>
      <c r="P32">
        <v>37.86</v>
      </c>
      <c r="Q32">
        <f>(L32*100000)/C32</f>
        <v>438.50267379679144</v>
      </c>
      <c r="R32">
        <f>(K32*100000)/C32</f>
        <v>954.78852698104038</v>
      </c>
      <c r="S32">
        <v>8.43</v>
      </c>
      <c r="T32">
        <f>R32+Q32</f>
        <v>1393.2912007778318</v>
      </c>
      <c r="U32">
        <v>7679</v>
      </c>
      <c r="V32">
        <v>0.41799999999999998</v>
      </c>
      <c r="W32" s="3">
        <v>11217.584800000001</v>
      </c>
      <c r="X32" s="4">
        <v>0.78</v>
      </c>
      <c r="Y32">
        <v>7679</v>
      </c>
      <c r="Z32" s="4">
        <v>0.78</v>
      </c>
      <c r="AA32">
        <v>86.8</v>
      </c>
      <c r="AB32">
        <v>2</v>
      </c>
      <c r="AC32">
        <v>1.6</v>
      </c>
      <c r="AD32">
        <f t="shared" si="8"/>
        <v>-0.35100000000000003</v>
      </c>
    </row>
    <row r="33" spans="1:30" ht="19" x14ac:dyDescent="0.25">
      <c r="A33">
        <v>2015</v>
      </c>
      <c r="B33" s="1">
        <v>22247</v>
      </c>
      <c r="C33" s="1">
        <v>1965</v>
      </c>
      <c r="D33" s="1">
        <f t="shared" si="1"/>
        <v>20282</v>
      </c>
      <c r="E33" s="6">
        <f t="shared" si="6"/>
        <v>8.8326515934732779</v>
      </c>
      <c r="F33" s="1" t="s">
        <v>27</v>
      </c>
      <c r="G33" s="1">
        <v>1965</v>
      </c>
      <c r="H33" s="2">
        <v>1371220</v>
      </c>
      <c r="I33">
        <v>7.24</v>
      </c>
      <c r="J33">
        <v>26.02</v>
      </c>
      <c r="K33">
        <v>20.27</v>
      </c>
      <c r="L33">
        <v>9.11</v>
      </c>
      <c r="M33">
        <v>16.579999999999998</v>
      </c>
      <c r="N33">
        <v>7.48</v>
      </c>
      <c r="O33">
        <v>2.0299999999999998</v>
      </c>
      <c r="P33">
        <v>37.47</v>
      </c>
      <c r="Q33">
        <f>(L33*100000)/C33</f>
        <v>463.61323155216286</v>
      </c>
      <c r="R33">
        <f>(K33*100000)/C33</f>
        <v>1031.5521628498727</v>
      </c>
      <c r="S33">
        <v>8.42</v>
      </c>
      <c r="T33">
        <f t="shared" ref="T33" si="9">R33+Q33</f>
        <v>1495.1653944020356</v>
      </c>
      <c r="U33">
        <v>8067</v>
      </c>
      <c r="V33">
        <v>0.41799999999999998</v>
      </c>
      <c r="W33" s="3">
        <v>11897.8006</v>
      </c>
      <c r="X33" s="4">
        <v>0.85</v>
      </c>
      <c r="Y33">
        <v>8067</v>
      </c>
      <c r="Z33" s="4">
        <v>0.85</v>
      </c>
      <c r="AA33">
        <v>78.3</v>
      </c>
      <c r="AB33">
        <v>1</v>
      </c>
      <c r="AC33">
        <v>1.6</v>
      </c>
      <c r="AD33">
        <f t="shared" si="8"/>
        <v>-9.1999999999999998E-2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Angiolillo</dc:creator>
  <cp:lastModifiedBy>Fabio Angiolillo</cp:lastModifiedBy>
  <dcterms:created xsi:type="dcterms:W3CDTF">2021-03-10T04:00:21Z</dcterms:created>
  <dcterms:modified xsi:type="dcterms:W3CDTF">2021-06-08T04:36:13Z</dcterms:modified>
</cp:coreProperties>
</file>