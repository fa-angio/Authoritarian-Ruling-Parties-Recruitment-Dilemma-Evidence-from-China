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bio/Desktop/"/>
    </mc:Choice>
  </mc:AlternateContent>
  <xr:revisionPtr revIDLastSave="0" documentId="8_{8CA84F6A-E64C-E64C-9E0F-74BE67FFA323}" xr6:coauthVersionLast="47" xr6:coauthVersionMax="47" xr10:uidLastSave="{00000000-0000-0000-0000-000000000000}"/>
  <bookViews>
    <workbookView xWindow="6140" yWindow="1000" windowWidth="22660" windowHeight="16440" xr2:uid="{902543C9-067F-0743-BE11-F8F4FF6F67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4" i="1" l="1"/>
  <c r="E19" i="1"/>
  <c r="E16" i="1"/>
  <c r="I22" i="1"/>
  <c r="I20" i="1"/>
  <c r="F23" i="1"/>
  <c r="F24" i="1"/>
  <c r="F25" i="1"/>
  <c r="F26" i="1"/>
  <c r="F22" i="1"/>
  <c r="E23" i="1"/>
  <c r="E25" i="1"/>
  <c r="E26" i="1"/>
  <c r="E22" i="1"/>
  <c r="E18" i="1"/>
  <c r="E20" i="1"/>
  <c r="E21" i="1"/>
  <c r="E17" i="1"/>
  <c r="F18" i="1"/>
  <c r="F19" i="1"/>
  <c r="F20" i="1"/>
  <c r="F21" i="1"/>
  <c r="F17" i="1"/>
  <c r="E13" i="1"/>
  <c r="E14" i="1"/>
  <c r="E15" i="1"/>
  <c r="E12" i="1"/>
  <c r="I12" i="1" s="1"/>
  <c r="F13" i="1"/>
  <c r="F14" i="1"/>
  <c r="F15" i="1"/>
  <c r="F16" i="1"/>
  <c r="F12" i="1"/>
  <c r="F3" i="1" l="1"/>
  <c r="F4" i="1"/>
  <c r="F5" i="1"/>
  <c r="F6" i="1"/>
  <c r="F7" i="1"/>
  <c r="F8" i="1"/>
  <c r="F9" i="1"/>
  <c r="F10" i="1"/>
  <c r="F11" i="1"/>
  <c r="F2" i="1"/>
  <c r="E3" i="1"/>
  <c r="E4" i="1"/>
  <c r="E5" i="1"/>
  <c r="E6" i="1"/>
  <c r="E7" i="1"/>
  <c r="E8" i="1"/>
  <c r="E9" i="1"/>
  <c r="E10" i="1"/>
  <c r="E11" i="1"/>
  <c r="E2" i="1"/>
  <c r="I4" i="1" l="1"/>
</calcChain>
</file>

<file path=xl/sharedStrings.xml><?xml version="1.0" encoding="utf-8"?>
<sst xmlns="http://schemas.openxmlformats.org/spreadsheetml/2006/main" count="32" uniqueCount="11">
  <si>
    <t>year</t>
  </si>
  <si>
    <t>pop</t>
  </si>
  <si>
    <t>app</t>
  </si>
  <si>
    <t>acc</t>
  </si>
  <si>
    <t>dens.acc</t>
  </si>
  <si>
    <t>dens.app</t>
  </si>
  <si>
    <t>value</t>
  </si>
  <si>
    <t>national</t>
  </si>
  <si>
    <t>CGSS2010</t>
  </si>
  <si>
    <t>CGSS2015</t>
  </si>
  <si>
    <t>CGSS2017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</si>
</sst>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E4110-BC4B-964B-ACDC-F3950D8E2992}">
  <dimension ref="A1:I26"/>
  <sheetViews>
    <sheetView tabSelected="1" workbookViewId="0">
      <selection activeCell="E26" sqref="E26"/>
    </sheetView>
  </sheetViews>
  <sheetFormatPr baseColWidth="10" defaultRowHeight="16" x14ac:dyDescent="0.2"/>
  <cols>
    <col min="4" max="4" width="12.83203125" bestFit="1" customWidth="1"/>
    <col min="14" max="14" width="13.1640625" customWidth="1"/>
  </cols>
  <sheetData>
    <row r="1" spans="1:9" x14ac:dyDescent="0.2">
      <c r="A1" t="s">
        <v>0</v>
      </c>
      <c r="B1" t="s">
        <v>2</v>
      </c>
      <c r="C1" t="s">
        <v>3</v>
      </c>
      <c r="D1" t="s">
        <v>1</v>
      </c>
      <c r="E1" t="s">
        <v>4</v>
      </c>
      <c r="F1" t="s">
        <v>5</v>
      </c>
      <c r="G1" t="s">
        <v>6</v>
      </c>
    </row>
    <row r="2" spans="1:9" ht="19" x14ac:dyDescent="0.25">
      <c r="A2">
        <v>2005</v>
      </c>
      <c r="B2" s="1">
        <v>17670</v>
      </c>
      <c r="C2" s="1">
        <v>2470</v>
      </c>
      <c r="D2" s="2">
        <v>1303720</v>
      </c>
      <c r="E2" s="2">
        <f>(C2*100)/D2</f>
        <v>0.18945785904948914</v>
      </c>
      <c r="F2" s="2">
        <f>(B2*100)/D2</f>
        <v>1.3553523762771147</v>
      </c>
      <c r="G2" t="s">
        <v>7</v>
      </c>
    </row>
    <row r="3" spans="1:9" ht="19" x14ac:dyDescent="0.25">
      <c r="A3">
        <v>2006</v>
      </c>
      <c r="B3" s="1">
        <v>19073</v>
      </c>
      <c r="C3" s="1">
        <v>2635</v>
      </c>
      <c r="D3" s="2">
        <v>1311020</v>
      </c>
      <c r="E3" s="2">
        <f t="shared" ref="E3:E11" si="0">(C3*100)/D3</f>
        <v>0.20098854327165108</v>
      </c>
      <c r="F3" s="2">
        <f t="shared" ref="F3:F11" si="1">(B3*100)/D3</f>
        <v>1.4548214367439094</v>
      </c>
      <c r="G3" t="s">
        <v>7</v>
      </c>
    </row>
    <row r="4" spans="1:9" ht="19" x14ac:dyDescent="0.25">
      <c r="A4">
        <v>2007</v>
      </c>
      <c r="B4" s="1">
        <v>19506</v>
      </c>
      <c r="C4" s="1">
        <v>2782</v>
      </c>
      <c r="D4" s="2">
        <v>1317885</v>
      </c>
      <c r="E4" s="2">
        <f t="shared" si="0"/>
        <v>0.21109580881488141</v>
      </c>
      <c r="F4" s="2">
        <f t="shared" si="1"/>
        <v>1.4800987946596251</v>
      </c>
      <c r="G4" t="s">
        <v>7</v>
      </c>
      <c r="I4">
        <f>AVERAGE(E2:E11)</f>
        <v>0.19952447522948119</v>
      </c>
    </row>
    <row r="5" spans="1:9" ht="19" x14ac:dyDescent="0.25">
      <c r="A5">
        <v>2008</v>
      </c>
      <c r="B5" s="1">
        <v>19449</v>
      </c>
      <c r="C5" s="1">
        <v>2807</v>
      </c>
      <c r="D5" s="2">
        <v>1324655</v>
      </c>
      <c r="E5" s="2">
        <f t="shared" si="0"/>
        <v>0.21190423166786823</v>
      </c>
      <c r="F5" s="2">
        <f t="shared" si="1"/>
        <v>1.468231350804549</v>
      </c>
      <c r="G5" t="s">
        <v>7</v>
      </c>
    </row>
    <row r="6" spans="1:9" ht="19" x14ac:dyDescent="0.25">
      <c r="A6">
        <v>2009</v>
      </c>
      <c r="B6" s="1">
        <v>20000</v>
      </c>
      <c r="C6" s="1">
        <v>2971</v>
      </c>
      <c r="D6" s="2">
        <v>1331260</v>
      </c>
      <c r="E6" s="2">
        <f t="shared" si="0"/>
        <v>0.22317203251055392</v>
      </c>
      <c r="F6" s="2">
        <f t="shared" si="1"/>
        <v>1.5023361326863272</v>
      </c>
      <c r="G6" t="s">
        <v>7</v>
      </c>
    </row>
    <row r="7" spans="1:9" ht="19" x14ac:dyDescent="0.25">
      <c r="A7">
        <v>2010</v>
      </c>
      <c r="B7" s="1">
        <v>21017</v>
      </c>
      <c r="C7" s="1">
        <v>3075</v>
      </c>
      <c r="D7" s="2">
        <v>1337705</v>
      </c>
      <c r="E7" s="2">
        <f t="shared" si="0"/>
        <v>0.22987130944415995</v>
      </c>
      <c r="F7" s="2">
        <f t="shared" si="1"/>
        <v>1.5711236782399707</v>
      </c>
      <c r="G7" t="s">
        <v>7</v>
      </c>
    </row>
    <row r="8" spans="1:9" ht="19" x14ac:dyDescent="0.25">
      <c r="A8">
        <v>2011</v>
      </c>
      <c r="B8" s="1">
        <v>21604</v>
      </c>
      <c r="C8" s="1">
        <v>2167</v>
      </c>
      <c r="D8" s="2">
        <v>1344130</v>
      </c>
      <c r="E8" s="2">
        <f t="shared" si="0"/>
        <v>0.16121952489714536</v>
      </c>
      <c r="F8" s="2">
        <f t="shared" si="1"/>
        <v>1.6072850096344848</v>
      </c>
      <c r="G8" t="s">
        <v>7</v>
      </c>
    </row>
    <row r="9" spans="1:9" ht="19" x14ac:dyDescent="0.25">
      <c r="A9">
        <v>2012</v>
      </c>
      <c r="B9" s="1">
        <v>21862</v>
      </c>
      <c r="C9" s="1">
        <v>3233</v>
      </c>
      <c r="D9" s="2">
        <v>1350695</v>
      </c>
      <c r="E9" s="2">
        <f t="shared" si="0"/>
        <v>0.23935825630508739</v>
      </c>
      <c r="F9" s="2">
        <f t="shared" si="1"/>
        <v>1.6185741414605073</v>
      </c>
      <c r="G9" t="s">
        <v>7</v>
      </c>
    </row>
    <row r="10" spans="1:9" ht="19" x14ac:dyDescent="0.25">
      <c r="A10">
        <v>2013</v>
      </c>
      <c r="B10" s="1">
        <v>21661</v>
      </c>
      <c r="C10" s="1">
        <v>2408</v>
      </c>
      <c r="D10" s="2">
        <v>1357380</v>
      </c>
      <c r="E10" s="2">
        <f t="shared" si="0"/>
        <v>0.17740058053013893</v>
      </c>
      <c r="F10" s="2">
        <f t="shared" si="1"/>
        <v>1.5957948400595265</v>
      </c>
      <c r="G10" t="s">
        <v>7</v>
      </c>
    </row>
    <row r="11" spans="1:9" ht="19" x14ac:dyDescent="0.25">
      <c r="A11">
        <v>2014</v>
      </c>
      <c r="B11" s="1">
        <v>21815</v>
      </c>
      <c r="C11" s="1">
        <v>2057</v>
      </c>
      <c r="D11" s="2">
        <v>1364270</v>
      </c>
      <c r="E11" s="2">
        <f t="shared" si="0"/>
        <v>0.15077660580383648</v>
      </c>
      <c r="F11" s="2">
        <f t="shared" si="1"/>
        <v>1.5990236536755922</v>
      </c>
      <c r="G11" t="s">
        <v>7</v>
      </c>
    </row>
    <row r="12" spans="1:9" x14ac:dyDescent="0.2">
      <c r="A12">
        <v>2005</v>
      </c>
      <c r="B12">
        <v>52</v>
      </c>
      <c r="C12">
        <v>38</v>
      </c>
      <c r="D12">
        <v>11783</v>
      </c>
      <c r="E12">
        <f t="shared" ref="E12:E26" si="2">(C12*100)/D12</f>
        <v>0.32249851480947128</v>
      </c>
      <c r="F12">
        <f t="shared" ref="F12:F22" si="3">(B12*100)/D12</f>
        <v>0.44131375710769755</v>
      </c>
      <c r="G12" t="s">
        <v>8</v>
      </c>
      <c r="I12">
        <f>AVERAGE(E12:E16)</f>
        <v>0.29194602393278457</v>
      </c>
    </row>
    <row r="13" spans="1:9" x14ac:dyDescent="0.2">
      <c r="A13">
        <v>2006</v>
      </c>
      <c r="B13">
        <v>67</v>
      </c>
      <c r="C13">
        <v>26</v>
      </c>
      <c r="D13">
        <v>11783</v>
      </c>
      <c r="E13">
        <f t="shared" si="2"/>
        <v>0.22065687855384877</v>
      </c>
      <c r="F13">
        <f t="shared" si="3"/>
        <v>0.56861580242722565</v>
      </c>
      <c r="G13" t="s">
        <v>8</v>
      </c>
    </row>
    <row r="14" spans="1:9" x14ac:dyDescent="0.2">
      <c r="A14">
        <v>2007</v>
      </c>
      <c r="B14">
        <v>47</v>
      </c>
      <c r="C14">
        <v>26</v>
      </c>
      <c r="D14">
        <v>11783</v>
      </c>
      <c r="E14">
        <f t="shared" si="2"/>
        <v>0.22065687855384877</v>
      </c>
      <c r="F14">
        <f t="shared" si="3"/>
        <v>0.39887974200118814</v>
      </c>
      <c r="G14" t="s">
        <v>8</v>
      </c>
    </row>
    <row r="15" spans="1:9" x14ac:dyDescent="0.2">
      <c r="A15">
        <v>2008</v>
      </c>
      <c r="B15">
        <v>47</v>
      </c>
      <c r="C15">
        <v>34</v>
      </c>
      <c r="D15">
        <v>11783</v>
      </c>
      <c r="E15">
        <f t="shared" si="2"/>
        <v>0.28855130272426377</v>
      </c>
      <c r="F15">
        <f t="shared" si="3"/>
        <v>0.39887974200118814</v>
      </c>
      <c r="G15" t="s">
        <v>8</v>
      </c>
    </row>
    <row r="16" spans="1:9" x14ac:dyDescent="0.2">
      <c r="A16">
        <v>2009</v>
      </c>
      <c r="B16">
        <v>63</v>
      </c>
      <c r="C16">
        <v>48</v>
      </c>
      <c r="D16">
        <v>11783</v>
      </c>
      <c r="E16">
        <f>(C16*100)/D16</f>
        <v>0.40736654502249003</v>
      </c>
      <c r="F16">
        <f t="shared" si="3"/>
        <v>0.53466859034201819</v>
      </c>
      <c r="G16" t="s">
        <v>8</v>
      </c>
    </row>
    <row r="17" spans="1:9" x14ac:dyDescent="0.2">
      <c r="A17">
        <v>2010</v>
      </c>
      <c r="B17">
        <v>45</v>
      </c>
      <c r="C17">
        <v>23</v>
      </c>
      <c r="D17">
        <v>10968</v>
      </c>
      <c r="E17">
        <f t="shared" si="2"/>
        <v>0.20970094821298321</v>
      </c>
      <c r="F17">
        <f t="shared" si="3"/>
        <v>0.4102844638949672</v>
      </c>
      <c r="G17" t="s">
        <v>9</v>
      </c>
    </row>
    <row r="18" spans="1:9" x14ac:dyDescent="0.2">
      <c r="A18">
        <v>2011</v>
      </c>
      <c r="B18">
        <v>42</v>
      </c>
      <c r="C18">
        <v>25</v>
      </c>
      <c r="D18">
        <v>10968</v>
      </c>
      <c r="E18">
        <f t="shared" si="2"/>
        <v>0.22793581327498177</v>
      </c>
      <c r="F18">
        <f t="shared" si="3"/>
        <v>0.38293216630196936</v>
      </c>
      <c r="G18" t="s">
        <v>9</v>
      </c>
    </row>
    <row r="19" spans="1:9" x14ac:dyDescent="0.2">
      <c r="A19">
        <v>2012</v>
      </c>
      <c r="B19">
        <v>34</v>
      </c>
      <c r="C19">
        <v>32</v>
      </c>
      <c r="D19">
        <v>10968</v>
      </c>
      <c r="E19">
        <f>(C19*100)/D19</f>
        <v>0.29175784099197666</v>
      </c>
      <c r="F19">
        <f t="shared" si="3"/>
        <v>0.30999270605397522</v>
      </c>
      <c r="G19" t="s">
        <v>9</v>
      </c>
    </row>
    <row r="20" spans="1:9" x14ac:dyDescent="0.2">
      <c r="A20">
        <v>2013</v>
      </c>
      <c r="B20">
        <v>47</v>
      </c>
      <c r="C20">
        <v>16</v>
      </c>
      <c r="D20">
        <v>10968</v>
      </c>
      <c r="E20">
        <f t="shared" si="2"/>
        <v>0.14587892049598833</v>
      </c>
      <c r="F20">
        <f t="shared" si="3"/>
        <v>0.42851932895696571</v>
      </c>
      <c r="G20" t="s">
        <v>9</v>
      </c>
      <c r="I20">
        <f>AVERAGE(E17:E21)</f>
        <v>0.2133479212253829</v>
      </c>
    </row>
    <row r="21" spans="1:9" x14ac:dyDescent="0.2">
      <c r="A21">
        <v>2014</v>
      </c>
      <c r="B21">
        <v>47</v>
      </c>
      <c r="C21">
        <v>21</v>
      </c>
      <c r="D21">
        <v>10968</v>
      </c>
      <c r="E21">
        <f t="shared" si="2"/>
        <v>0.19146608315098468</v>
      </c>
      <c r="F21">
        <f t="shared" si="3"/>
        <v>0.42851932895696571</v>
      </c>
      <c r="G21" t="s">
        <v>9</v>
      </c>
    </row>
    <row r="22" spans="1:9" x14ac:dyDescent="0.2">
      <c r="A22">
        <v>2012</v>
      </c>
      <c r="B22">
        <v>47</v>
      </c>
      <c r="C22">
        <v>24</v>
      </c>
      <c r="D22">
        <v>12582</v>
      </c>
      <c r="E22">
        <f t="shared" si="2"/>
        <v>0.19074868860276586</v>
      </c>
      <c r="F22">
        <f>(B22*100)/D22</f>
        <v>0.37354951518041646</v>
      </c>
      <c r="G22" t="s">
        <v>10</v>
      </c>
      <c r="I22">
        <f>AVERAGE(E22:E26)</f>
        <v>0.16849467493244316</v>
      </c>
    </row>
    <row r="23" spans="1:9" x14ac:dyDescent="0.2">
      <c r="A23">
        <v>2013</v>
      </c>
      <c r="B23">
        <v>52</v>
      </c>
      <c r="C23">
        <v>19</v>
      </c>
      <c r="D23">
        <v>12582</v>
      </c>
      <c r="E23">
        <f>(C23*100)/D23</f>
        <v>0.15100937847718965</v>
      </c>
      <c r="F23">
        <f t="shared" ref="F23:F26" si="4">(B23*100)/D23</f>
        <v>0.4132888253059927</v>
      </c>
      <c r="G23" t="s">
        <v>10</v>
      </c>
    </row>
    <row r="24" spans="1:9" x14ac:dyDescent="0.2">
      <c r="A24">
        <v>2014</v>
      </c>
      <c r="B24">
        <v>43</v>
      </c>
      <c r="C24">
        <v>33</v>
      </c>
      <c r="D24">
        <v>12582</v>
      </c>
      <c r="E24">
        <f>(C24*100)/D24</f>
        <v>0.26227944682880305</v>
      </c>
      <c r="F24">
        <f t="shared" si="4"/>
        <v>0.34175806707995549</v>
      </c>
      <c r="G24" t="s">
        <v>10</v>
      </c>
    </row>
    <row r="25" spans="1:9" x14ac:dyDescent="0.2">
      <c r="A25">
        <v>2015</v>
      </c>
      <c r="B25">
        <v>63</v>
      </c>
      <c r="C25">
        <v>17</v>
      </c>
      <c r="D25">
        <v>12582</v>
      </c>
      <c r="E25">
        <f t="shared" si="2"/>
        <v>0.13511365442695913</v>
      </c>
      <c r="F25">
        <f t="shared" si="4"/>
        <v>0.50071530758226035</v>
      </c>
      <c r="G25" t="s">
        <v>10</v>
      </c>
    </row>
    <row r="26" spans="1:9" x14ac:dyDescent="0.2">
      <c r="A26">
        <v>2016</v>
      </c>
      <c r="B26">
        <v>59</v>
      </c>
      <c r="C26">
        <v>13</v>
      </c>
      <c r="D26">
        <v>12582</v>
      </c>
      <c r="E26">
        <f t="shared" si="2"/>
        <v>0.10332220632649818</v>
      </c>
      <c r="F26">
        <f t="shared" si="4"/>
        <v>0.46892385948179938</v>
      </c>
      <c r="G26" t="s">
        <v>10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Angiolillo</dc:creator>
  <cp:lastModifiedBy>Fabio Angiolillo</cp:lastModifiedBy>
  <dcterms:created xsi:type="dcterms:W3CDTF">2021-06-16T09:18:42Z</dcterms:created>
  <dcterms:modified xsi:type="dcterms:W3CDTF">2022-05-21T23:17:01Z</dcterms:modified>
</cp:coreProperties>
</file>