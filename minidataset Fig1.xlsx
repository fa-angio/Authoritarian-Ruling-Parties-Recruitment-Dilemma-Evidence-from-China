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/V-Dem Institute Dropbox/Fabio Angiolillo/Personal projects/Who to Select/JEAS/data/Recruitment Dilemma/data source/"/>
    </mc:Choice>
  </mc:AlternateContent>
  <xr:revisionPtr revIDLastSave="0" documentId="13_ncr:1_{71E31CC7-1527-F143-92B4-42D24DB8A124}" xr6:coauthVersionLast="47" xr6:coauthVersionMax="47" xr10:uidLastSave="{00000000-0000-0000-0000-000000000000}"/>
  <bookViews>
    <workbookView xWindow="1580" yWindow="2000" windowWidth="26840" windowHeight="15440" xr2:uid="{566DB9B3-04CE-4846-A71F-E988326DD0A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" l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04" i="1"/>
  <c r="E84" i="1"/>
  <c r="D42" i="1" l="1"/>
  <c r="E42" i="1"/>
  <c r="E38" i="1"/>
  <c r="D38" i="1"/>
  <c r="D74" i="1"/>
  <c r="E74" i="1"/>
  <c r="E37" i="1"/>
  <c r="D37" i="1"/>
  <c r="E30" i="1"/>
  <c r="D30" i="1"/>
  <c r="D73" i="1"/>
  <c r="E73" i="1"/>
  <c r="E31" i="1"/>
  <c r="D31" i="1"/>
  <c r="E80" i="1"/>
  <c r="D80" i="1"/>
  <c r="D2" i="1"/>
  <c r="E2" i="1"/>
  <c r="D32" i="1"/>
  <c r="E32" i="1"/>
  <c r="E39" i="1"/>
  <c r="D39" i="1"/>
  <c r="E29" i="1"/>
  <c r="D29" i="1"/>
  <c r="D22" i="1"/>
  <c r="E22" i="1"/>
  <c r="E45" i="1"/>
  <c r="D45" i="1"/>
  <c r="D81" i="1"/>
  <c r="E81" i="1"/>
  <c r="D36" i="1"/>
  <c r="E36" i="1"/>
  <c r="D11" i="1"/>
  <c r="E11" i="1"/>
  <c r="D34" i="1"/>
  <c r="E34" i="1"/>
  <c r="D79" i="1"/>
  <c r="E79" i="1"/>
  <c r="D35" i="1"/>
  <c r="E35" i="1"/>
  <c r="E40" i="1"/>
  <c r="D40" i="1"/>
  <c r="D82" i="1"/>
  <c r="E82" i="1"/>
  <c r="E83" i="1"/>
  <c r="D83" i="1"/>
  <c r="D63" i="1"/>
  <c r="E63" i="1"/>
  <c r="E72" i="1"/>
  <c r="D72" i="1"/>
  <c r="D52" i="1"/>
  <c r="E52" i="1"/>
  <c r="D75" i="1"/>
  <c r="E75" i="1"/>
  <c r="E33" i="1"/>
  <c r="D33" i="1"/>
  <c r="D78" i="1"/>
  <c r="E78" i="1"/>
  <c r="D76" i="1"/>
  <c r="E76" i="1"/>
  <c r="D43" i="1"/>
  <c r="E43" i="1"/>
  <c r="E77" i="1"/>
  <c r="D77" i="1"/>
  <c r="D41" i="1"/>
  <c r="E41" i="1"/>
  <c r="E4" i="1"/>
  <c r="D4" i="1"/>
</calcChain>
</file>

<file path=xl/sharedStrings.xml><?xml version="1.0" encoding="utf-8"?>
<sst xmlns="http://schemas.openxmlformats.org/spreadsheetml/2006/main" count="129" uniqueCount="9">
  <si>
    <t>year</t>
  </si>
  <si>
    <t>value</t>
  </si>
  <si>
    <t>partypercent</t>
  </si>
  <si>
    <t>statepercent</t>
  </si>
  <si>
    <t>distance</t>
  </si>
  <si>
    <t>pc_owned</t>
  </si>
  <si>
    <t>labor workers</t>
  </si>
  <si>
    <t>white collars</t>
  </si>
  <si>
    <t>peasants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</si>
</sst>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c65720ceb39cad9/3%20OneDrive%20Fabio/HKU/Research/A%20-%20Control%20Cabin/Writing%20process/Authoritarian%20Political%20Inequality/Seventh%20draft/Empirics/Data%20figures/CCP_members_2005_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 rural"/>
    </sheetNames>
    <sheetDataSet>
      <sheetData sheetId="0">
        <row r="2">
          <cell r="H2">
            <v>7.31</v>
          </cell>
        </row>
        <row r="4">
          <cell r="H4">
            <v>7.22</v>
          </cell>
        </row>
        <row r="11">
          <cell r="H11">
            <v>7.34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4C22-8BDC-4A44-99BA-014E68FB53B9}">
  <dimension ref="A1:F124"/>
  <sheetViews>
    <sheetView tabSelected="1" workbookViewId="0">
      <selection activeCell="F13" sqref="F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1978</v>
      </c>
      <c r="B2" t="s">
        <v>6</v>
      </c>
      <c r="C2">
        <v>19</v>
      </c>
      <c r="D2">
        <f ca="1">(C2/(C2+E2+[1]Sheet1!H2)*100)</f>
        <v>14.65926483177255</v>
      </c>
      <c r="E2">
        <f ca="1">D2-C2</f>
        <v>40.75</v>
      </c>
      <c r="F2">
        <v>0.26960000000000001</v>
      </c>
    </row>
    <row r="3" spans="1:6" x14ac:dyDescent="0.2">
      <c r="A3">
        <v>1979</v>
      </c>
      <c r="B3" t="s">
        <v>6</v>
      </c>
      <c r="F3">
        <v>0.26869999999999999</v>
      </c>
    </row>
    <row r="4" spans="1:6" x14ac:dyDescent="0.2">
      <c r="A4">
        <v>1980</v>
      </c>
      <c r="B4" t="s">
        <v>6</v>
      </c>
      <c r="C4">
        <v>18.8</v>
      </c>
      <c r="D4">
        <f ca="1">(C4/(C4+E4+[1]Sheet1!H4)*100)</f>
        <v>15.233990874405064</v>
      </c>
      <c r="E4">
        <f ca="1">D4-C4</f>
        <v>40.069999999999993</v>
      </c>
      <c r="F4">
        <v>0.26729999999999998</v>
      </c>
    </row>
    <row r="5" spans="1:6" x14ac:dyDescent="0.2">
      <c r="A5">
        <v>1981</v>
      </c>
      <c r="B5" t="s">
        <v>6</v>
      </c>
      <c r="F5">
        <v>0.26390000000000002</v>
      </c>
    </row>
    <row r="6" spans="1:6" x14ac:dyDescent="0.2">
      <c r="A6">
        <v>1982</v>
      </c>
      <c r="B6" t="s">
        <v>6</v>
      </c>
      <c r="F6">
        <v>0.2581</v>
      </c>
    </row>
    <row r="7" spans="1:6" x14ac:dyDescent="0.2">
      <c r="A7">
        <v>1983</v>
      </c>
      <c r="B7" t="s">
        <v>6</v>
      </c>
      <c r="F7">
        <v>0.2606</v>
      </c>
    </row>
    <row r="8" spans="1:6" x14ac:dyDescent="0.2">
      <c r="A8">
        <v>1984</v>
      </c>
      <c r="B8" t="s">
        <v>6</v>
      </c>
      <c r="F8">
        <v>0.2576</v>
      </c>
    </row>
    <row r="9" spans="1:6" x14ac:dyDescent="0.2">
      <c r="A9">
        <v>1985</v>
      </c>
      <c r="B9" t="s">
        <v>6</v>
      </c>
      <c r="F9">
        <v>0.25409999999999999</v>
      </c>
    </row>
    <row r="10" spans="1:6" x14ac:dyDescent="0.2">
      <c r="A10">
        <v>1986</v>
      </c>
      <c r="B10" t="s">
        <v>6</v>
      </c>
      <c r="F10">
        <v>0.23860000000000001</v>
      </c>
    </row>
    <row r="11" spans="1:6" x14ac:dyDescent="0.2">
      <c r="A11">
        <v>1987</v>
      </c>
      <c r="B11" t="s">
        <v>6</v>
      </c>
      <c r="C11">
        <v>17.100000000000001</v>
      </c>
      <c r="D11">
        <f ca="1">(C11/(C11+E11+[1]Sheet1!H11)*100)</f>
        <v>15.566742378346591</v>
      </c>
      <c r="E11">
        <f ca="1">D11-C11</f>
        <v>40.129999999999995</v>
      </c>
      <c r="F11">
        <v>0.23319999999999999</v>
      </c>
    </row>
    <row r="12" spans="1:6" x14ac:dyDescent="0.2">
      <c r="A12">
        <v>1988</v>
      </c>
      <c r="B12" t="s">
        <v>6</v>
      </c>
      <c r="F12">
        <v>0.2306</v>
      </c>
    </row>
    <row r="13" spans="1:6" x14ac:dyDescent="0.2">
      <c r="A13">
        <v>1989</v>
      </c>
      <c r="B13" t="s">
        <v>6</v>
      </c>
      <c r="F13">
        <v>0.22389999999999999</v>
      </c>
    </row>
    <row r="14" spans="1:6" x14ac:dyDescent="0.2">
      <c r="A14">
        <v>1990</v>
      </c>
      <c r="B14" t="s">
        <v>6</v>
      </c>
      <c r="F14">
        <v>0.2258</v>
      </c>
    </row>
    <row r="15" spans="1:6" x14ac:dyDescent="0.2">
      <c r="A15">
        <v>1991</v>
      </c>
      <c r="B15" t="s">
        <v>6</v>
      </c>
      <c r="F15">
        <v>0.21260000000000001</v>
      </c>
    </row>
    <row r="16" spans="1:6" x14ac:dyDescent="0.2">
      <c r="A16">
        <v>1992</v>
      </c>
      <c r="B16" t="s">
        <v>6</v>
      </c>
      <c r="F16">
        <v>0.2031</v>
      </c>
    </row>
    <row r="17" spans="1:6" x14ac:dyDescent="0.2">
      <c r="A17">
        <v>1993</v>
      </c>
      <c r="B17" t="s">
        <v>6</v>
      </c>
      <c r="F17">
        <v>0.19359999999999999</v>
      </c>
    </row>
    <row r="18" spans="1:6" x14ac:dyDescent="0.2">
      <c r="A18">
        <v>1994</v>
      </c>
      <c r="B18" t="s">
        <v>6</v>
      </c>
      <c r="F18">
        <v>0.18959999999999999</v>
      </c>
    </row>
    <row r="19" spans="1:6" x14ac:dyDescent="0.2">
      <c r="A19">
        <v>1995</v>
      </c>
      <c r="B19" t="s">
        <v>6</v>
      </c>
      <c r="F19">
        <v>0.19320000000000001</v>
      </c>
    </row>
    <row r="20" spans="1:6" x14ac:dyDescent="0.2">
      <c r="A20">
        <v>1996</v>
      </c>
      <c r="B20" t="s">
        <v>6</v>
      </c>
      <c r="F20">
        <v>0.19919999999999999</v>
      </c>
    </row>
    <row r="21" spans="1:6" x14ac:dyDescent="0.2">
      <c r="A21">
        <v>1997</v>
      </c>
      <c r="B21" t="s">
        <v>6</v>
      </c>
      <c r="F21">
        <v>0.19900000000000001</v>
      </c>
    </row>
    <row r="22" spans="1:6" x14ac:dyDescent="0.2">
      <c r="A22">
        <v>1998</v>
      </c>
      <c r="B22" t="s">
        <v>6</v>
      </c>
      <c r="C22">
        <v>11.6</v>
      </c>
      <c r="D22">
        <f ca="1">(C22/(C22+E22+[1]Sheet1!H22)*100)</f>
        <v>11.38896543768465</v>
      </c>
      <c r="E22">
        <f ca="1">D22-C22</f>
        <v>34.059999999999995</v>
      </c>
      <c r="F22">
        <v>0.1996</v>
      </c>
    </row>
    <row r="23" spans="1:6" x14ac:dyDescent="0.2">
      <c r="A23">
        <v>1999</v>
      </c>
      <c r="B23" t="s">
        <v>6</v>
      </c>
      <c r="F23">
        <v>0.19259999999999999</v>
      </c>
    </row>
    <row r="24" spans="1:6" x14ac:dyDescent="0.2">
      <c r="A24">
        <v>2000</v>
      </c>
      <c r="B24" t="s">
        <v>6</v>
      </c>
      <c r="F24">
        <v>0.1807</v>
      </c>
    </row>
    <row r="25" spans="1:6" x14ac:dyDescent="0.2">
      <c r="A25">
        <v>2001</v>
      </c>
      <c r="B25" t="s">
        <v>6</v>
      </c>
      <c r="F25">
        <v>0.17480000000000001</v>
      </c>
    </row>
    <row r="26" spans="1:6" x14ac:dyDescent="0.2">
      <c r="A26">
        <v>2002</v>
      </c>
      <c r="B26" t="s">
        <v>6</v>
      </c>
      <c r="F26">
        <v>0.16209999999999999</v>
      </c>
    </row>
    <row r="27" spans="1:6" x14ac:dyDescent="0.2">
      <c r="A27">
        <v>2003</v>
      </c>
      <c r="B27" t="s">
        <v>6</v>
      </c>
      <c r="F27">
        <v>0.1578</v>
      </c>
    </row>
    <row r="28" spans="1:6" x14ac:dyDescent="0.2">
      <c r="A28">
        <v>2004</v>
      </c>
      <c r="B28" t="s">
        <v>6</v>
      </c>
      <c r="F28">
        <v>0.158</v>
      </c>
    </row>
    <row r="29" spans="1:6" x14ac:dyDescent="0.2">
      <c r="A29">
        <v>2005</v>
      </c>
      <c r="B29" t="s">
        <v>6</v>
      </c>
      <c r="C29">
        <v>7.31</v>
      </c>
      <c r="D29">
        <f ca="1">(C29/(C29+E29+[1]Sheet1!H29)*100)</f>
        <v>13.354017234136617</v>
      </c>
      <c r="E29">
        <f t="shared" ref="E29:E43" ca="1" si="0">D29-C29</f>
        <v>40.809999999999995</v>
      </c>
      <c r="F29">
        <v>0.15029999999999999</v>
      </c>
    </row>
    <row r="30" spans="1:6" x14ac:dyDescent="0.2">
      <c r="A30">
        <v>2006</v>
      </c>
      <c r="B30" t="s">
        <v>6</v>
      </c>
      <c r="C30">
        <v>7.2</v>
      </c>
      <c r="D30">
        <f ca="1">(C30/(C30+E30+[1]Sheet1!H30)*100)</f>
        <v>14.108451727352373</v>
      </c>
      <c r="E30">
        <f t="shared" ca="1" si="0"/>
        <v>41.25</v>
      </c>
      <c r="F30">
        <v>0.15010000000000001</v>
      </c>
    </row>
    <row r="31" spans="1:6" x14ac:dyDescent="0.2">
      <c r="A31">
        <v>2007</v>
      </c>
      <c r="B31" t="s">
        <v>6</v>
      </c>
      <c r="C31">
        <v>7.22</v>
      </c>
      <c r="D31">
        <f ca="1">(C31/(C31+E31+[1]Sheet1!H31)*100)</f>
        <v>14.829507989134715</v>
      </c>
      <c r="E31">
        <f t="shared" ca="1" si="0"/>
        <v>41</v>
      </c>
      <c r="F31">
        <v>0.14849999999999999</v>
      </c>
    </row>
    <row r="32" spans="1:6" x14ac:dyDescent="0.2">
      <c r="A32">
        <v>2008</v>
      </c>
      <c r="B32" t="s">
        <v>6</v>
      </c>
      <c r="C32">
        <v>7.34</v>
      </c>
      <c r="D32">
        <f ca="1">(C32/(C32+E32+[1]Sheet1!H32)*100)</f>
        <v>15.230758151728407</v>
      </c>
      <c r="E32">
        <f t="shared" ca="1" si="0"/>
        <v>40.159999999999997</v>
      </c>
      <c r="F32">
        <v>0.14810000000000001</v>
      </c>
    </row>
    <row r="33" spans="1:6" x14ac:dyDescent="0.2">
      <c r="A33">
        <v>2009</v>
      </c>
      <c r="B33" t="s">
        <v>6</v>
      </c>
      <c r="C33">
        <v>7.33</v>
      </c>
      <c r="D33">
        <f ca="1">(C33/(C33+E33+[1]Sheet1!H33)*100)</f>
        <v>16.893980341197071</v>
      </c>
      <c r="E33">
        <f t="shared" ca="1" si="0"/>
        <v>39.35</v>
      </c>
      <c r="F33">
        <v>0.14710000000000001</v>
      </c>
    </row>
    <row r="34" spans="1:6" x14ac:dyDescent="0.2">
      <c r="A34">
        <v>2010</v>
      </c>
      <c r="B34" t="s">
        <v>6</v>
      </c>
      <c r="C34">
        <v>7.2</v>
      </c>
      <c r="D34">
        <f ca="1">(C34/(C34+E34+[1]Sheet1!H34)*100)</f>
        <v>17.889333940172367</v>
      </c>
      <c r="E34">
        <f t="shared" ca="1" si="0"/>
        <v>39.619999999999997</v>
      </c>
      <c r="F34">
        <v>0.14280000000000001</v>
      </c>
    </row>
    <row r="35" spans="1:6" x14ac:dyDescent="0.2">
      <c r="A35">
        <v>2011</v>
      </c>
      <c r="B35" t="s">
        <v>6</v>
      </c>
      <c r="C35">
        <v>7.23</v>
      </c>
      <c r="D35">
        <f ca="1">(C35/(C35+E35+[1]Sheet1!H35)*100)</f>
        <v>19.610976459467409</v>
      </c>
      <c r="E35">
        <f t="shared" ca="1" si="0"/>
        <v>39.730000000000004</v>
      </c>
      <c r="F35">
        <v>0.14549999999999999</v>
      </c>
    </row>
    <row r="36" spans="1:6" x14ac:dyDescent="0.2">
      <c r="A36">
        <v>2012</v>
      </c>
      <c r="B36" t="s">
        <v>6</v>
      </c>
      <c r="C36">
        <v>7.25</v>
      </c>
      <c r="D36">
        <f ca="1">(C36/(C36+E36+[1]Sheet1!H36)*100)</f>
        <v>20.896182419228513</v>
      </c>
      <c r="E36">
        <f t="shared" ca="1" si="0"/>
        <v>39.94</v>
      </c>
      <c r="F36">
        <v>0.15010000000000001</v>
      </c>
    </row>
    <row r="37" spans="1:6" x14ac:dyDescent="0.2">
      <c r="A37">
        <v>2013</v>
      </c>
      <c r="B37" t="s">
        <v>6</v>
      </c>
      <c r="C37">
        <v>7.34</v>
      </c>
      <c r="D37">
        <f ca="1">(C37/(C37+E37+[1]Sheet1!H37)*100)</f>
        <v>23.57196152282404</v>
      </c>
      <c r="E37">
        <f t="shared" ca="1" si="0"/>
        <v>41.370000000000005</v>
      </c>
      <c r="F37">
        <v>0.14510000000000001</v>
      </c>
    </row>
    <row r="38" spans="1:6" x14ac:dyDescent="0.2">
      <c r="A38">
        <v>2014</v>
      </c>
      <c r="B38" t="s">
        <v>6</v>
      </c>
      <c r="C38">
        <v>7.34</v>
      </c>
      <c r="D38">
        <f ca="1">(C38/(C38+E38+[1]Sheet1!H38)*100)</f>
        <v>24.0566573558153</v>
      </c>
      <c r="E38">
        <f t="shared" ca="1" si="0"/>
        <v>39.659999999999997</v>
      </c>
      <c r="F38">
        <v>0.1487</v>
      </c>
    </row>
    <row r="39" spans="1:6" x14ac:dyDescent="0.2">
      <c r="A39">
        <v>2015</v>
      </c>
      <c r="B39" t="s">
        <v>6</v>
      </c>
      <c r="C39">
        <v>7.24</v>
      </c>
      <c r="D39">
        <f ca="1">(C39/(C39+E39+[1]Sheet1!H39)*100)</f>
        <v>24.078212854737455</v>
      </c>
      <c r="E39">
        <f t="shared" ca="1" si="0"/>
        <v>37.809999999999995</v>
      </c>
      <c r="F39">
        <v>0.1484</v>
      </c>
    </row>
    <row r="40" spans="1:6" x14ac:dyDescent="0.2">
      <c r="A40">
        <v>2016</v>
      </c>
      <c r="B40" t="s">
        <v>6</v>
      </c>
      <c r="C40">
        <v>7.93</v>
      </c>
      <c r="D40">
        <f ca="1">(C40/(C40+E40+[1]Sheet1!H40)*100)</f>
        <v>24.324479540559942</v>
      </c>
      <c r="E40">
        <f t="shared" ca="1" si="0"/>
        <v>35.96</v>
      </c>
      <c r="F40">
        <v>0.1484</v>
      </c>
    </row>
    <row r="41" spans="1:6" x14ac:dyDescent="0.2">
      <c r="A41">
        <v>2017</v>
      </c>
      <c r="B41" t="s">
        <v>6</v>
      </c>
      <c r="C41">
        <v>7.42</v>
      </c>
      <c r="D41">
        <f ca="1">(C41/(C41+E41+[1]Sheet1!H41)*100)</f>
        <v>24.643752483370353</v>
      </c>
      <c r="E41">
        <f t="shared" ca="1" si="0"/>
        <v>35.339999999999996</v>
      </c>
      <c r="F41">
        <v>0.1484</v>
      </c>
    </row>
    <row r="42" spans="1:6" x14ac:dyDescent="0.2">
      <c r="A42">
        <v>2018</v>
      </c>
      <c r="B42" t="s">
        <v>6</v>
      </c>
      <c r="C42">
        <v>7.19</v>
      </c>
      <c r="D42">
        <f ca="1">(C42/(C42+E42+[1]Sheet1!H42)*100)</f>
        <v>24.843745520227071</v>
      </c>
      <c r="E42">
        <f t="shared" ca="1" si="0"/>
        <v>34.42</v>
      </c>
      <c r="F42">
        <v>0.1484</v>
      </c>
    </row>
    <row r="43" spans="1:6" x14ac:dyDescent="0.2">
      <c r="A43">
        <v>1978</v>
      </c>
      <c r="B43" t="s">
        <v>7</v>
      </c>
      <c r="C43">
        <v>19</v>
      </c>
      <c r="D43">
        <f ca="1">(B43/(B43+E43 +#REF!)*100)</f>
        <v>5.8626682923033027</v>
      </c>
      <c r="E43">
        <f t="shared" ca="1" si="0"/>
        <v>4.75</v>
      </c>
      <c r="F43">
        <v>0.45889999999999997</v>
      </c>
    </row>
    <row r="44" spans="1:6" x14ac:dyDescent="0.2">
      <c r="A44">
        <v>1979</v>
      </c>
      <c r="B44" t="s">
        <v>7</v>
      </c>
      <c r="F44">
        <v>0.4597</v>
      </c>
    </row>
    <row r="45" spans="1:6" x14ac:dyDescent="0.2">
      <c r="A45">
        <v>1980</v>
      </c>
      <c r="B45" t="s">
        <v>7</v>
      </c>
      <c r="C45">
        <v>18.8</v>
      </c>
      <c r="D45">
        <f ca="1">(B45/(B45+E45 +#REF!)*100)</f>
        <v>6.5002655076112195</v>
      </c>
      <c r="E45">
        <f ca="1">D45-C45</f>
        <v>6.32</v>
      </c>
      <c r="F45">
        <v>0.46029999999999999</v>
      </c>
    </row>
    <row r="46" spans="1:6" x14ac:dyDescent="0.2">
      <c r="A46">
        <v>1981</v>
      </c>
      <c r="B46" t="s">
        <v>7</v>
      </c>
      <c r="F46">
        <v>0.45929999999999999</v>
      </c>
    </row>
    <row r="47" spans="1:6" x14ac:dyDescent="0.2">
      <c r="A47">
        <v>1982</v>
      </c>
      <c r="B47" t="s">
        <v>7</v>
      </c>
      <c r="F47">
        <v>0.46089999999999998</v>
      </c>
    </row>
    <row r="48" spans="1:6" x14ac:dyDescent="0.2">
      <c r="A48">
        <v>1983</v>
      </c>
      <c r="B48" t="s">
        <v>7</v>
      </c>
      <c r="F48">
        <v>0.45760000000000001</v>
      </c>
    </row>
    <row r="49" spans="1:6" x14ac:dyDescent="0.2">
      <c r="A49">
        <v>1984</v>
      </c>
      <c r="B49" t="s">
        <v>7</v>
      </c>
      <c r="F49">
        <v>0.45569999999999999</v>
      </c>
    </row>
    <row r="50" spans="1:6" x14ac:dyDescent="0.2">
      <c r="A50">
        <v>1985</v>
      </c>
      <c r="B50" t="s">
        <v>7</v>
      </c>
      <c r="F50">
        <v>0.45079999999999998</v>
      </c>
    </row>
    <row r="51" spans="1:6" x14ac:dyDescent="0.2">
      <c r="A51">
        <v>1986</v>
      </c>
      <c r="B51" t="s">
        <v>7</v>
      </c>
      <c r="F51">
        <v>0.4627</v>
      </c>
    </row>
    <row r="52" spans="1:6" x14ac:dyDescent="0.2">
      <c r="A52">
        <v>1987</v>
      </c>
      <c r="B52" t="s">
        <v>7</v>
      </c>
      <c r="C52">
        <v>21</v>
      </c>
      <c r="D52">
        <f ca="1">(B52/(B52+E52 +#REF!)*100)</f>
        <v>7.4717758565911589</v>
      </c>
      <c r="E52">
        <f ca="1">D52-C52</f>
        <v>6.4699999999999989</v>
      </c>
      <c r="F52">
        <v>0.46949999999999997</v>
      </c>
    </row>
    <row r="53" spans="1:6" x14ac:dyDescent="0.2">
      <c r="A53">
        <v>1988</v>
      </c>
      <c r="B53" t="s">
        <v>7</v>
      </c>
      <c r="F53">
        <v>0.46839999999999998</v>
      </c>
    </row>
    <row r="54" spans="1:6" x14ac:dyDescent="0.2">
      <c r="A54">
        <v>1989</v>
      </c>
      <c r="B54" t="s">
        <v>7</v>
      </c>
      <c r="F54">
        <v>0.46939999999999998</v>
      </c>
    </row>
    <row r="55" spans="1:6" x14ac:dyDescent="0.2">
      <c r="A55">
        <v>1990</v>
      </c>
      <c r="B55" t="s">
        <v>7</v>
      </c>
      <c r="F55">
        <v>0.47010000000000002</v>
      </c>
    </row>
    <row r="56" spans="1:6" x14ac:dyDescent="0.2">
      <c r="A56">
        <v>1991</v>
      </c>
      <c r="B56" t="s">
        <v>7</v>
      </c>
      <c r="F56">
        <v>0.4763</v>
      </c>
    </row>
    <row r="57" spans="1:6" x14ac:dyDescent="0.2">
      <c r="A57">
        <v>1992</v>
      </c>
      <c r="B57" t="s">
        <v>7</v>
      </c>
      <c r="F57">
        <v>0.47349999999999998</v>
      </c>
    </row>
    <row r="58" spans="1:6" x14ac:dyDescent="0.2">
      <c r="A58">
        <v>1993</v>
      </c>
      <c r="B58" t="s">
        <v>7</v>
      </c>
      <c r="F58">
        <v>0.47099999999999997</v>
      </c>
    </row>
    <row r="59" spans="1:6" x14ac:dyDescent="0.2">
      <c r="A59">
        <v>1994</v>
      </c>
      <c r="B59" t="s">
        <v>7</v>
      </c>
      <c r="F59">
        <v>0.47070000000000001</v>
      </c>
    </row>
    <row r="60" spans="1:6" x14ac:dyDescent="0.2">
      <c r="A60">
        <v>1995</v>
      </c>
      <c r="B60" t="s">
        <v>7</v>
      </c>
      <c r="F60">
        <v>0.47120000000000001</v>
      </c>
    </row>
    <row r="61" spans="1:6" x14ac:dyDescent="0.2">
      <c r="A61">
        <v>1996</v>
      </c>
      <c r="B61" t="s">
        <v>7</v>
      </c>
      <c r="F61">
        <v>0.46539999999999998</v>
      </c>
    </row>
    <row r="62" spans="1:6" x14ac:dyDescent="0.2">
      <c r="A62">
        <v>1997</v>
      </c>
      <c r="B62" t="s">
        <v>7</v>
      </c>
      <c r="F62">
        <v>0.4652</v>
      </c>
    </row>
    <row r="63" spans="1:6" x14ac:dyDescent="0.2">
      <c r="A63">
        <v>1998</v>
      </c>
      <c r="B63" t="s">
        <v>7</v>
      </c>
      <c r="C63">
        <v>30</v>
      </c>
      <c r="D63">
        <f ca="1">(B63/(B63+E63 +#REF!)*100)</f>
        <v>9.6570044284368439</v>
      </c>
      <c r="E63">
        <f ca="1">D63-C63</f>
        <v>8.7100000000000009</v>
      </c>
      <c r="F63">
        <v>0.46129999999999999</v>
      </c>
    </row>
    <row r="64" spans="1:6" x14ac:dyDescent="0.2">
      <c r="A64">
        <v>1999</v>
      </c>
      <c r="B64" t="s">
        <v>7</v>
      </c>
      <c r="F64">
        <v>0.4627</v>
      </c>
    </row>
    <row r="65" spans="1:6" x14ac:dyDescent="0.2">
      <c r="A65">
        <v>2000</v>
      </c>
      <c r="B65" t="s">
        <v>7</v>
      </c>
      <c r="F65">
        <v>0.4637</v>
      </c>
    </row>
    <row r="66" spans="1:6" x14ac:dyDescent="0.2">
      <c r="A66">
        <v>2001</v>
      </c>
      <c r="B66" t="s">
        <v>7</v>
      </c>
      <c r="F66">
        <v>0.46200000000000002</v>
      </c>
    </row>
    <row r="67" spans="1:6" x14ac:dyDescent="0.2">
      <c r="A67">
        <v>2002</v>
      </c>
      <c r="B67" t="s">
        <v>7</v>
      </c>
      <c r="F67">
        <v>0.44409999999999999</v>
      </c>
    </row>
    <row r="68" spans="1:6" x14ac:dyDescent="0.2">
      <c r="A68">
        <v>2003</v>
      </c>
      <c r="B68" t="s">
        <v>7</v>
      </c>
      <c r="F68">
        <v>0.44009999999999999</v>
      </c>
    </row>
    <row r="69" spans="1:6" x14ac:dyDescent="0.2">
      <c r="A69">
        <v>2004</v>
      </c>
      <c r="B69" t="s">
        <v>7</v>
      </c>
      <c r="F69">
        <v>0.43309999999999998</v>
      </c>
    </row>
    <row r="70" spans="1:6" x14ac:dyDescent="0.2">
      <c r="A70">
        <v>2005</v>
      </c>
      <c r="B70" t="s">
        <v>7</v>
      </c>
      <c r="F70">
        <v>0.43109999999999998</v>
      </c>
    </row>
    <row r="71" spans="1:6" x14ac:dyDescent="0.2">
      <c r="A71">
        <v>2006</v>
      </c>
      <c r="B71" t="s">
        <v>7</v>
      </c>
      <c r="F71">
        <v>0.42920000000000003</v>
      </c>
    </row>
    <row r="72" spans="1:6" x14ac:dyDescent="0.2">
      <c r="A72">
        <v>2007</v>
      </c>
      <c r="B72" t="s">
        <v>7</v>
      </c>
      <c r="C72">
        <v>23.51</v>
      </c>
      <c r="D72">
        <f ca="1">(B72/(B72+E72 +#REF!)*100)</f>
        <v>11.602814843869439</v>
      </c>
      <c r="E72">
        <f t="shared" ref="E72:E84" ca="1" si="1">D72-C72</f>
        <v>14.219999999999995</v>
      </c>
      <c r="F72">
        <v>0.42759999999999998</v>
      </c>
    </row>
    <row r="73" spans="1:6" x14ac:dyDescent="0.2">
      <c r="A73">
        <v>2008</v>
      </c>
      <c r="B73" t="s">
        <v>7</v>
      </c>
      <c r="C73">
        <v>22.48</v>
      </c>
      <c r="D73">
        <f ca="1">(B73/(B73+E73 +#REF!)*100)</f>
        <v>12.341780394788653</v>
      </c>
      <c r="E73">
        <f t="shared" ca="1" si="1"/>
        <v>16.010000000000002</v>
      </c>
      <c r="F73">
        <v>0.42799999999999999</v>
      </c>
    </row>
    <row r="74" spans="1:6" x14ac:dyDescent="0.2">
      <c r="A74">
        <v>2009</v>
      </c>
      <c r="B74" t="s">
        <v>7</v>
      </c>
      <c r="C74">
        <v>25.99</v>
      </c>
      <c r="D74">
        <f ca="1">(B74/(B74+E74 +#REF!)*100)</f>
        <v>14.319628703017436</v>
      </c>
      <c r="E74">
        <f t="shared" ca="1" si="1"/>
        <v>13.580000000000002</v>
      </c>
      <c r="F74">
        <v>0.42949999999999999</v>
      </c>
    </row>
    <row r="75" spans="1:6" x14ac:dyDescent="0.2">
      <c r="A75">
        <v>2010</v>
      </c>
      <c r="B75" t="s">
        <v>7</v>
      </c>
      <c r="C75">
        <v>26.32</v>
      </c>
      <c r="D75">
        <f ca="1">(B75/(B75+E75 +#REF!)*100)</f>
        <v>15.026878542031429</v>
      </c>
      <c r="E75">
        <f t="shared" ca="1" si="1"/>
        <v>13.009999999999998</v>
      </c>
      <c r="F75">
        <v>0.43120000000000003</v>
      </c>
    </row>
    <row r="76" spans="1:6" x14ac:dyDescent="0.2">
      <c r="A76">
        <v>2011</v>
      </c>
      <c r="B76" t="s">
        <v>7</v>
      </c>
      <c r="C76">
        <v>26.64</v>
      </c>
      <c r="D76">
        <f ca="1">(B76/(B76+E76 +#REF!)*100)</f>
        <v>16.680009499887539</v>
      </c>
      <c r="E76">
        <f t="shared" ca="1" si="1"/>
        <v>13.299999999999997</v>
      </c>
      <c r="F76">
        <v>0.42570000000000002</v>
      </c>
    </row>
    <row r="77" spans="1:6" x14ac:dyDescent="0.2">
      <c r="A77">
        <v>2012</v>
      </c>
      <c r="B77" t="s">
        <v>7</v>
      </c>
      <c r="C77">
        <v>26.81</v>
      </c>
      <c r="D77">
        <f ca="1">(B77/(B77+E77 +#REF!)*100)</f>
        <v>17.438918240521446</v>
      </c>
      <c r="E77">
        <f t="shared" ca="1" si="1"/>
        <v>12.570000000000004</v>
      </c>
      <c r="F77">
        <v>0.43519999999999998</v>
      </c>
    </row>
    <row r="78" spans="1:6" x14ac:dyDescent="0.2">
      <c r="A78">
        <v>2013</v>
      </c>
      <c r="B78" t="s">
        <v>7</v>
      </c>
      <c r="C78">
        <v>27.84</v>
      </c>
      <c r="D78">
        <f ca="1">(B78/(B78+E78 +#REF!)*100)</f>
        <v>18.737592391539071</v>
      </c>
      <c r="E78">
        <f t="shared" ca="1" si="1"/>
        <v>10.879999999999999</v>
      </c>
      <c r="F78">
        <v>0.43380000000000002</v>
      </c>
    </row>
    <row r="79" spans="1:6" x14ac:dyDescent="0.2">
      <c r="A79">
        <v>2014</v>
      </c>
      <c r="B79" t="s">
        <v>7</v>
      </c>
      <c r="C79">
        <v>28.71</v>
      </c>
      <c r="D79">
        <f ca="1">(B79/(B79+E79 +#REF!)*100)</f>
        <v>20.685527208754337</v>
      </c>
      <c r="E79">
        <f t="shared" ca="1" si="1"/>
        <v>11.699999999999996</v>
      </c>
      <c r="F79">
        <v>0.43809999999999999</v>
      </c>
    </row>
    <row r="80" spans="1:6" x14ac:dyDescent="0.2">
      <c r="A80">
        <v>2015</v>
      </c>
      <c r="B80" t="s">
        <v>7</v>
      </c>
      <c r="C80">
        <v>29.38</v>
      </c>
      <c r="D80">
        <f ca="1">(B80/(B80+E80 +#REF!)*100)</f>
        <v>22.477971613789403</v>
      </c>
      <c r="E80">
        <f t="shared" ca="1" si="1"/>
        <v>12.680000000000003</v>
      </c>
      <c r="F80">
        <v>0.43740000000000001</v>
      </c>
    </row>
    <row r="81" spans="1:6" x14ac:dyDescent="0.2">
      <c r="A81">
        <v>2016</v>
      </c>
      <c r="B81" t="s">
        <v>7</v>
      </c>
      <c r="C81">
        <v>33.57</v>
      </c>
      <c r="D81">
        <f ca="1">(B81/(B81+E81 +#REF!)*100)</f>
        <v>23.737257717157213</v>
      </c>
      <c r="E81">
        <f t="shared" ca="1" si="1"/>
        <v>9.259999999999998</v>
      </c>
      <c r="F81">
        <v>0.43740000000000001</v>
      </c>
    </row>
    <row r="82" spans="1:6" x14ac:dyDescent="0.2">
      <c r="A82">
        <v>2017</v>
      </c>
      <c r="B82" t="s">
        <v>7</v>
      </c>
      <c r="C82">
        <v>34.1</v>
      </c>
      <c r="D82">
        <f ca="1">(B82/(B82+E82 +#REF!)*100)</f>
        <v>25.07710954271683</v>
      </c>
      <c r="E82">
        <f t="shared" ca="1" si="1"/>
        <v>9.4200000000000017</v>
      </c>
      <c r="F82">
        <v>0.43740000000000001</v>
      </c>
    </row>
    <row r="83" spans="1:6" x14ac:dyDescent="0.2">
      <c r="A83">
        <v>2018</v>
      </c>
      <c r="B83" t="s">
        <v>7</v>
      </c>
      <c r="C83">
        <v>34.35</v>
      </c>
      <c r="D83">
        <f ca="1">(B83/(B83+E83 +#REF!)*100)</f>
        <v>26.176925943977754</v>
      </c>
      <c r="E83">
        <f t="shared" ca="1" si="1"/>
        <v>9.490000000000002</v>
      </c>
      <c r="F83">
        <v>0.43740000000000001</v>
      </c>
    </row>
    <row r="84" spans="1:6" x14ac:dyDescent="0.2">
      <c r="A84">
        <v>1978</v>
      </c>
      <c r="B84" t="s">
        <v>8</v>
      </c>
      <c r="C84">
        <v>46</v>
      </c>
      <c r="D84">
        <v>79.48</v>
      </c>
      <c r="E84">
        <f t="shared" si="1"/>
        <v>33.480000000000004</v>
      </c>
      <c r="F84">
        <v>0.26960000000000001</v>
      </c>
    </row>
    <row r="85" spans="1:6" x14ac:dyDescent="0.2">
      <c r="A85">
        <v>1979</v>
      </c>
      <c r="B85" t="s">
        <v>8</v>
      </c>
      <c r="F85">
        <v>0.26869999999999999</v>
      </c>
    </row>
    <row r="86" spans="1:6" x14ac:dyDescent="0.2">
      <c r="A86">
        <v>1980</v>
      </c>
      <c r="B86" t="s">
        <v>8</v>
      </c>
      <c r="F86">
        <v>0.26729999999999998</v>
      </c>
    </row>
    <row r="87" spans="1:6" x14ac:dyDescent="0.2">
      <c r="A87">
        <v>1981</v>
      </c>
      <c r="B87" t="s">
        <v>8</v>
      </c>
      <c r="F87">
        <v>0.26390000000000002</v>
      </c>
    </row>
    <row r="88" spans="1:6" x14ac:dyDescent="0.2">
      <c r="A88">
        <v>1982</v>
      </c>
      <c r="B88" t="s">
        <v>8</v>
      </c>
      <c r="F88">
        <v>0.2581</v>
      </c>
    </row>
    <row r="89" spans="1:6" x14ac:dyDescent="0.2">
      <c r="A89">
        <v>1983</v>
      </c>
      <c r="B89" t="s">
        <v>8</v>
      </c>
      <c r="F89">
        <v>0.2606</v>
      </c>
    </row>
    <row r="90" spans="1:6" x14ac:dyDescent="0.2">
      <c r="A90">
        <v>1984</v>
      </c>
      <c r="B90" t="s">
        <v>8</v>
      </c>
      <c r="F90">
        <v>0.2576</v>
      </c>
    </row>
    <row r="91" spans="1:6" x14ac:dyDescent="0.2">
      <c r="A91">
        <v>1985</v>
      </c>
      <c r="B91" t="s">
        <v>8</v>
      </c>
      <c r="F91">
        <v>0.25409999999999999</v>
      </c>
    </row>
    <row r="92" spans="1:6" x14ac:dyDescent="0.2">
      <c r="A92">
        <v>1986</v>
      </c>
      <c r="B92" t="s">
        <v>8</v>
      </c>
      <c r="F92">
        <v>0.23860000000000001</v>
      </c>
    </row>
    <row r="93" spans="1:6" x14ac:dyDescent="0.2">
      <c r="A93">
        <v>1987</v>
      </c>
      <c r="B93" t="s">
        <v>8</v>
      </c>
      <c r="F93">
        <v>0.23319999999999999</v>
      </c>
    </row>
    <row r="94" spans="1:6" x14ac:dyDescent="0.2">
      <c r="A94">
        <v>1988</v>
      </c>
      <c r="B94" t="s">
        <v>8</v>
      </c>
      <c r="F94">
        <v>0.2306</v>
      </c>
    </row>
    <row r="95" spans="1:6" x14ac:dyDescent="0.2">
      <c r="A95">
        <v>1989</v>
      </c>
      <c r="B95" t="s">
        <v>8</v>
      </c>
      <c r="F95">
        <v>0.22389999999999999</v>
      </c>
    </row>
    <row r="96" spans="1:6" x14ac:dyDescent="0.2">
      <c r="A96">
        <v>1990</v>
      </c>
      <c r="B96" t="s">
        <v>8</v>
      </c>
      <c r="F96">
        <v>0.2258</v>
      </c>
    </row>
    <row r="97" spans="1:6" x14ac:dyDescent="0.2">
      <c r="A97">
        <v>1991</v>
      </c>
      <c r="B97" t="s">
        <v>8</v>
      </c>
      <c r="F97">
        <v>0.21260000000000001</v>
      </c>
    </row>
    <row r="98" spans="1:6" x14ac:dyDescent="0.2">
      <c r="A98">
        <v>1992</v>
      </c>
      <c r="B98" t="s">
        <v>8</v>
      </c>
      <c r="F98">
        <v>0.2031</v>
      </c>
    </row>
    <row r="99" spans="1:6" x14ac:dyDescent="0.2">
      <c r="A99">
        <v>1993</v>
      </c>
      <c r="B99" t="s">
        <v>8</v>
      </c>
      <c r="F99">
        <v>0.19359999999999999</v>
      </c>
    </row>
    <row r="100" spans="1:6" x14ac:dyDescent="0.2">
      <c r="A100">
        <v>1994</v>
      </c>
      <c r="B100" t="s">
        <v>8</v>
      </c>
      <c r="F100">
        <v>0.18959999999999999</v>
      </c>
    </row>
    <row r="101" spans="1:6" x14ac:dyDescent="0.2">
      <c r="A101">
        <v>1995</v>
      </c>
      <c r="B101" t="s">
        <v>8</v>
      </c>
      <c r="F101">
        <v>0.19320000000000001</v>
      </c>
    </row>
    <row r="102" spans="1:6" x14ac:dyDescent="0.2">
      <c r="A102">
        <v>1996</v>
      </c>
      <c r="B102" t="s">
        <v>8</v>
      </c>
      <c r="F102">
        <v>0.19919999999999999</v>
      </c>
    </row>
    <row r="103" spans="1:6" x14ac:dyDescent="0.2">
      <c r="A103">
        <v>1997</v>
      </c>
      <c r="B103" t="s">
        <v>8</v>
      </c>
      <c r="F103">
        <v>0.19900000000000001</v>
      </c>
    </row>
    <row r="104" spans="1:6" x14ac:dyDescent="0.2">
      <c r="A104">
        <v>1998</v>
      </c>
      <c r="B104" t="s">
        <v>8</v>
      </c>
      <c r="C104">
        <v>32.700000000000003</v>
      </c>
      <c r="D104">
        <v>78.95</v>
      </c>
      <c r="E104">
        <f>D104-C104</f>
        <v>46.25</v>
      </c>
      <c r="F104">
        <v>0.1996</v>
      </c>
    </row>
    <row r="105" spans="1:6" x14ac:dyDescent="0.2">
      <c r="A105">
        <v>1999</v>
      </c>
      <c r="B105" t="s">
        <v>8</v>
      </c>
      <c r="F105">
        <v>0.19259999999999999</v>
      </c>
    </row>
    <row r="106" spans="1:6" x14ac:dyDescent="0.2">
      <c r="A106">
        <v>2000</v>
      </c>
      <c r="B106" t="s">
        <v>8</v>
      </c>
      <c r="F106">
        <v>0.1807</v>
      </c>
    </row>
    <row r="107" spans="1:6" x14ac:dyDescent="0.2">
      <c r="A107">
        <v>2001</v>
      </c>
      <c r="B107" t="s">
        <v>8</v>
      </c>
      <c r="F107">
        <v>0.17480000000000001</v>
      </c>
    </row>
    <row r="108" spans="1:6" x14ac:dyDescent="0.2">
      <c r="A108">
        <v>2002</v>
      </c>
      <c r="B108" t="s">
        <v>8</v>
      </c>
      <c r="F108">
        <v>0.16209999999999999</v>
      </c>
    </row>
    <row r="109" spans="1:6" x14ac:dyDescent="0.2">
      <c r="A109">
        <v>2003</v>
      </c>
      <c r="B109" t="s">
        <v>8</v>
      </c>
      <c r="F109">
        <v>0.1578</v>
      </c>
    </row>
    <row r="110" spans="1:6" x14ac:dyDescent="0.2">
      <c r="A110">
        <v>2004</v>
      </c>
      <c r="B110" t="s">
        <v>8</v>
      </c>
      <c r="F110">
        <v>0.158</v>
      </c>
    </row>
    <row r="111" spans="1:6" x14ac:dyDescent="0.2">
      <c r="A111">
        <v>2005</v>
      </c>
      <c r="B111" t="s">
        <v>8</v>
      </c>
      <c r="C111">
        <v>23.63</v>
      </c>
      <c r="D111">
        <v>76.3</v>
      </c>
      <c r="E111">
        <f t="shared" ref="E111:E124" si="2">D111-C111</f>
        <v>52.67</v>
      </c>
      <c r="F111">
        <v>0.15029999999999999</v>
      </c>
    </row>
    <row r="112" spans="1:6" x14ac:dyDescent="0.2">
      <c r="A112">
        <v>2006</v>
      </c>
      <c r="B112" t="s">
        <v>8</v>
      </c>
      <c r="C112">
        <v>23.56</v>
      </c>
      <c r="D112">
        <v>74.959999999999994</v>
      </c>
      <c r="E112">
        <f t="shared" si="2"/>
        <v>51.399999999999991</v>
      </c>
      <c r="F112">
        <v>0.15010000000000001</v>
      </c>
    </row>
    <row r="113" spans="1:6" x14ac:dyDescent="0.2">
      <c r="A113">
        <v>2007</v>
      </c>
      <c r="B113" t="s">
        <v>8</v>
      </c>
      <c r="C113">
        <v>23.55</v>
      </c>
      <c r="D113">
        <v>73.569999999999993</v>
      </c>
      <c r="E113">
        <f t="shared" si="2"/>
        <v>50.019999999999996</v>
      </c>
      <c r="F113">
        <v>0.14849999999999999</v>
      </c>
    </row>
    <row r="114" spans="1:6" x14ac:dyDescent="0.2">
      <c r="A114">
        <v>2008</v>
      </c>
      <c r="B114" t="s">
        <v>8</v>
      </c>
      <c r="C114">
        <v>23.61</v>
      </c>
      <c r="D114">
        <v>72.430000000000007</v>
      </c>
      <c r="E114">
        <f t="shared" si="2"/>
        <v>48.820000000000007</v>
      </c>
      <c r="F114">
        <v>0.14810000000000001</v>
      </c>
    </row>
    <row r="115" spans="1:6" x14ac:dyDescent="0.2">
      <c r="A115">
        <v>2009</v>
      </c>
      <c r="B115" t="s">
        <v>8</v>
      </c>
      <c r="C115">
        <v>23.63</v>
      </c>
      <c r="D115">
        <v>68.790000000000006</v>
      </c>
      <c r="E115">
        <f t="shared" si="2"/>
        <v>45.160000000000011</v>
      </c>
      <c r="F115">
        <v>0.14710000000000001</v>
      </c>
    </row>
    <row r="116" spans="1:6" x14ac:dyDescent="0.2">
      <c r="A116">
        <v>2010</v>
      </c>
      <c r="B116" t="s">
        <v>8</v>
      </c>
      <c r="C116">
        <v>24.6</v>
      </c>
      <c r="D116">
        <v>67.03</v>
      </c>
      <c r="E116">
        <f t="shared" si="2"/>
        <v>42.43</v>
      </c>
      <c r="F116">
        <v>0.14280000000000001</v>
      </c>
    </row>
    <row r="117" spans="1:6" x14ac:dyDescent="0.2">
      <c r="A117">
        <v>2011</v>
      </c>
      <c r="B117" t="s">
        <v>8</v>
      </c>
      <c r="C117">
        <v>24.65</v>
      </c>
      <c r="D117">
        <v>63.71</v>
      </c>
      <c r="E117">
        <f t="shared" si="2"/>
        <v>39.06</v>
      </c>
      <c r="F117">
        <v>0.14549999999999999</v>
      </c>
    </row>
    <row r="118" spans="1:6" x14ac:dyDescent="0.2">
      <c r="A118">
        <v>2012</v>
      </c>
      <c r="B118" t="s">
        <v>8</v>
      </c>
      <c r="C118">
        <v>25.35</v>
      </c>
      <c r="D118">
        <v>61.66</v>
      </c>
      <c r="E118">
        <f t="shared" si="2"/>
        <v>36.309999999999995</v>
      </c>
      <c r="F118">
        <v>0.15010000000000001</v>
      </c>
    </row>
    <row r="119" spans="1:6" x14ac:dyDescent="0.2">
      <c r="A119">
        <v>2013</v>
      </c>
      <c r="B119" t="s">
        <v>8</v>
      </c>
      <c r="C119">
        <v>25.7</v>
      </c>
      <c r="D119">
        <v>57.69</v>
      </c>
      <c r="E119">
        <f t="shared" si="2"/>
        <v>31.99</v>
      </c>
      <c r="F119">
        <v>0.14510000000000001</v>
      </c>
    </row>
    <row r="120" spans="1:6" x14ac:dyDescent="0.2">
      <c r="A120">
        <v>2014</v>
      </c>
      <c r="B120" t="s">
        <v>8</v>
      </c>
      <c r="C120">
        <v>25.9</v>
      </c>
      <c r="D120">
        <v>55.26</v>
      </c>
      <c r="E120">
        <f t="shared" si="2"/>
        <v>29.36</v>
      </c>
      <c r="F120">
        <v>0.1487</v>
      </c>
    </row>
    <row r="121" spans="1:6" x14ac:dyDescent="0.2">
      <c r="A121">
        <v>2015</v>
      </c>
      <c r="B121" t="s">
        <v>8</v>
      </c>
      <c r="C121">
        <v>26.02</v>
      </c>
      <c r="D121">
        <v>53.44</v>
      </c>
      <c r="E121">
        <f t="shared" si="2"/>
        <v>27.419999999999998</v>
      </c>
      <c r="F121">
        <v>0.1484</v>
      </c>
    </row>
    <row r="122" spans="1:6" x14ac:dyDescent="0.2">
      <c r="A122">
        <v>2016</v>
      </c>
      <c r="B122" t="s">
        <v>8</v>
      </c>
      <c r="C122">
        <v>25.96</v>
      </c>
      <c r="D122">
        <v>51.94</v>
      </c>
      <c r="E122">
        <f t="shared" si="2"/>
        <v>25.979999999999997</v>
      </c>
      <c r="F122">
        <v>0.1484</v>
      </c>
    </row>
    <row r="123" spans="1:6" x14ac:dyDescent="0.2">
      <c r="A123">
        <v>2017</v>
      </c>
      <c r="B123" t="s">
        <v>8</v>
      </c>
      <c r="C123">
        <v>25.5</v>
      </c>
      <c r="D123">
        <v>50.28</v>
      </c>
      <c r="E123">
        <f t="shared" si="2"/>
        <v>24.78</v>
      </c>
      <c r="F123">
        <v>0.1484</v>
      </c>
    </row>
    <row r="124" spans="1:6" x14ac:dyDescent="0.2">
      <c r="A124">
        <v>2018</v>
      </c>
      <c r="B124" t="s">
        <v>8</v>
      </c>
      <c r="C124">
        <v>25.44</v>
      </c>
      <c r="D124">
        <v>48.98</v>
      </c>
      <c r="E124">
        <f t="shared" si="2"/>
        <v>23.539999999999996</v>
      </c>
      <c r="F124">
        <v>0.1484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Angiolillo</dc:creator>
  <cp:lastModifiedBy>Fabio Angiolillo</cp:lastModifiedBy>
  <dcterms:created xsi:type="dcterms:W3CDTF">2021-04-09T11:23:52Z</dcterms:created>
  <dcterms:modified xsi:type="dcterms:W3CDTF">2023-10-15T12:25:56Z</dcterms:modified>
</cp:coreProperties>
</file>